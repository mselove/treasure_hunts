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love\Dropbox\Authentic PreLoved Fashion\Numerical example - revision 2\Code to upload\"/>
    </mc:Choice>
  </mc:AlternateContent>
  <xr:revisionPtr revIDLastSave="0" documentId="13_ncr:1_{94DBCFDC-9AED-4D93-ADCD-305EA4B76326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Chart - profit max" sheetId="6" r:id="rId1"/>
    <sheet name="Profit_max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F9" i="7" s="1"/>
  <c r="F8" i="7"/>
  <c r="I9" i="7" l="1"/>
  <c r="H9" i="7"/>
  <c r="G9" i="7"/>
  <c r="B10" i="7"/>
  <c r="H8" i="7"/>
  <c r="I8" i="7"/>
  <c r="G8" i="7"/>
  <c r="J9" i="7" l="1"/>
  <c r="L9" i="7" s="1"/>
  <c r="F10" i="7"/>
  <c r="B11" i="7"/>
  <c r="J8" i="7"/>
  <c r="L8" i="7" s="1"/>
  <c r="H10" i="7" l="1"/>
  <c r="G10" i="7"/>
  <c r="I10" i="7"/>
  <c r="J10" i="7" s="1"/>
  <c r="L10" i="7" s="1"/>
  <c r="B12" i="7"/>
  <c r="F11" i="7"/>
  <c r="H11" i="7" l="1"/>
  <c r="G11" i="7"/>
  <c r="I11" i="7"/>
  <c r="B13" i="7"/>
  <c r="F12" i="7"/>
  <c r="J11" i="7" l="1"/>
  <c r="L11" i="7" s="1"/>
  <c r="H12" i="7"/>
  <c r="I12" i="7"/>
  <c r="G12" i="7"/>
  <c r="B14" i="7"/>
  <c r="F13" i="7"/>
  <c r="J12" i="7" l="1"/>
  <c r="L12" i="7" s="1"/>
  <c r="I13" i="7"/>
  <c r="H13" i="7"/>
  <c r="G13" i="7"/>
  <c r="B15" i="7"/>
  <c r="F14" i="7"/>
  <c r="J13" i="7" l="1"/>
  <c r="H14" i="7"/>
  <c r="G14" i="7"/>
  <c r="I14" i="7"/>
  <c r="F15" i="7"/>
  <c r="B16" i="7"/>
  <c r="L13" i="7"/>
  <c r="F16" i="7" l="1"/>
  <c r="B17" i="7"/>
  <c r="I15" i="7"/>
  <c r="H15" i="7"/>
  <c r="G15" i="7"/>
  <c r="J14" i="7"/>
  <c r="L14" i="7" s="1"/>
  <c r="I16" i="7" l="1"/>
  <c r="H16" i="7"/>
  <c r="G16" i="7"/>
  <c r="J15" i="7"/>
  <c r="L15" i="7" s="1"/>
  <c r="F17" i="7"/>
  <c r="B18" i="7"/>
  <c r="F18" i="7" l="1"/>
  <c r="B19" i="7"/>
  <c r="J16" i="7"/>
  <c r="L16" i="7" s="1"/>
  <c r="H17" i="7"/>
  <c r="G17" i="7"/>
  <c r="I17" i="7"/>
  <c r="J17" i="7" l="1"/>
  <c r="L17" i="7" s="1"/>
  <c r="B20" i="7"/>
  <c r="F19" i="7"/>
  <c r="H18" i="7"/>
  <c r="G18" i="7"/>
  <c r="I18" i="7"/>
  <c r="J18" i="7" l="1"/>
  <c r="L18" i="7" s="1"/>
  <c r="G19" i="7"/>
  <c r="I19" i="7"/>
  <c r="H19" i="7"/>
  <c r="J19" i="7" s="1"/>
  <c r="F20" i="7"/>
  <c r="B21" i="7"/>
  <c r="L19" i="7" l="1"/>
  <c r="F21" i="7"/>
  <c r="B22" i="7"/>
  <c r="I20" i="7"/>
  <c r="H20" i="7"/>
  <c r="G20" i="7"/>
  <c r="J20" i="7" l="1"/>
  <c r="L20" i="7" s="1"/>
  <c r="B23" i="7"/>
  <c r="F22" i="7"/>
  <c r="H21" i="7"/>
  <c r="I21" i="7"/>
  <c r="G21" i="7"/>
  <c r="J21" i="7" l="1"/>
  <c r="L21" i="7" s="1"/>
  <c r="H22" i="7"/>
  <c r="I22" i="7"/>
  <c r="G22" i="7"/>
  <c r="B24" i="7"/>
  <c r="F23" i="7"/>
  <c r="J22" i="7" l="1"/>
  <c r="L22" i="7" s="1"/>
  <c r="I23" i="7"/>
  <c r="H23" i="7"/>
  <c r="G23" i="7"/>
  <c r="B25" i="7"/>
  <c r="F24" i="7"/>
  <c r="J23" i="7" l="1"/>
  <c r="L23" i="7" s="1"/>
  <c r="B26" i="7"/>
  <c r="F25" i="7"/>
  <c r="H24" i="7"/>
  <c r="G24" i="7"/>
  <c r="I24" i="7"/>
  <c r="F26" i="7" l="1"/>
  <c r="B27" i="7"/>
  <c r="J24" i="7"/>
  <c r="L24" i="7" s="1"/>
  <c r="H25" i="7"/>
  <c r="G25" i="7"/>
  <c r="I25" i="7"/>
  <c r="J25" i="7" s="1"/>
  <c r="L25" i="7" s="1"/>
  <c r="G26" i="7" l="1"/>
  <c r="H26" i="7"/>
  <c r="I26" i="7"/>
  <c r="F27" i="7"/>
  <c r="B28" i="7"/>
  <c r="I27" i="7" l="1"/>
  <c r="H27" i="7"/>
  <c r="G27" i="7"/>
  <c r="F28" i="7"/>
  <c r="B29" i="7"/>
  <c r="J26" i="7"/>
  <c r="L26" i="7" s="1"/>
  <c r="J27" i="7" l="1"/>
  <c r="B30" i="7"/>
  <c r="F29" i="7"/>
  <c r="H28" i="7"/>
  <c r="I28" i="7"/>
  <c r="G28" i="7"/>
  <c r="L27" i="7"/>
  <c r="J28" i="7" l="1"/>
  <c r="L28" i="7" s="1"/>
  <c r="H29" i="7"/>
  <c r="I29" i="7"/>
  <c r="G29" i="7"/>
  <c r="F30" i="7"/>
  <c r="B31" i="7"/>
  <c r="J29" i="7" l="1"/>
  <c r="L29" i="7" s="1"/>
  <c r="F31" i="7"/>
  <c r="B32" i="7"/>
  <c r="I30" i="7"/>
  <c r="H30" i="7"/>
  <c r="G30" i="7"/>
  <c r="J30" i="7" l="1"/>
  <c r="L30" i="7" s="1"/>
  <c r="F32" i="7"/>
  <c r="B33" i="7"/>
  <c r="I31" i="7"/>
  <c r="H31" i="7"/>
  <c r="G31" i="7"/>
  <c r="J31" i="7" l="1"/>
  <c r="F33" i="7"/>
  <c r="B34" i="7"/>
  <c r="H32" i="7"/>
  <c r="G32" i="7"/>
  <c r="I32" i="7"/>
  <c r="L31" i="7"/>
  <c r="G33" i="7" l="1"/>
  <c r="I33" i="7"/>
  <c r="H33" i="7"/>
  <c r="F34" i="7"/>
  <c r="B35" i="7"/>
  <c r="J32" i="7"/>
  <c r="L32" i="7" s="1"/>
  <c r="J33" i="7" l="1"/>
  <c r="L33" i="7" s="1"/>
  <c r="B36" i="7"/>
  <c r="F35" i="7"/>
  <c r="I34" i="7"/>
  <c r="H34" i="7"/>
  <c r="G34" i="7"/>
  <c r="F36" i="7" l="1"/>
  <c r="B37" i="7"/>
  <c r="J34" i="7"/>
  <c r="L34" i="7" s="1"/>
  <c r="H35" i="7"/>
  <c r="G35" i="7"/>
  <c r="I35" i="7"/>
  <c r="H36" i="7" l="1"/>
  <c r="I36" i="7"/>
  <c r="G36" i="7"/>
  <c r="J35" i="7"/>
  <c r="L35" i="7" s="1"/>
  <c r="F37" i="7"/>
  <c r="B38" i="7"/>
  <c r="J36" i="7" l="1"/>
  <c r="L36" i="7" s="1"/>
  <c r="F38" i="7"/>
  <c r="B39" i="7"/>
  <c r="I37" i="7"/>
  <c r="H37" i="7"/>
  <c r="G37" i="7"/>
  <c r="J37" i="7" l="1"/>
  <c r="L37" i="7" s="1"/>
  <c r="B40" i="7"/>
  <c r="F39" i="7"/>
  <c r="I38" i="7"/>
  <c r="H38" i="7"/>
  <c r="G38" i="7"/>
  <c r="J38" i="7" l="1"/>
  <c r="L38" i="7" s="1"/>
  <c r="I39" i="7"/>
  <c r="G39" i="7"/>
  <c r="H39" i="7"/>
  <c r="B41" i="7"/>
  <c r="F40" i="7"/>
  <c r="G40" i="7" l="1"/>
  <c r="H40" i="7"/>
  <c r="I40" i="7"/>
  <c r="B42" i="7"/>
  <c r="F41" i="7"/>
  <c r="J39" i="7"/>
  <c r="L39" i="7" s="1"/>
  <c r="I41" i="7" l="1"/>
  <c r="H41" i="7"/>
  <c r="G41" i="7"/>
  <c r="F42" i="7"/>
  <c r="B43" i="7"/>
  <c r="J40" i="7"/>
  <c r="L40" i="7" s="1"/>
  <c r="J41" i="7" l="1"/>
  <c r="L41" i="7" s="1"/>
  <c r="F43" i="7"/>
  <c r="B44" i="7"/>
  <c r="H42" i="7"/>
  <c r="G42" i="7"/>
  <c r="I42" i="7"/>
  <c r="J42" i="7" l="1"/>
  <c r="L42" i="7" s="1"/>
  <c r="F44" i="7"/>
  <c r="B45" i="7"/>
  <c r="H43" i="7"/>
  <c r="G43" i="7"/>
  <c r="I43" i="7"/>
  <c r="I44" i="7" l="1"/>
  <c r="H44" i="7"/>
  <c r="G44" i="7"/>
  <c r="B46" i="7"/>
  <c r="F45" i="7"/>
  <c r="J43" i="7"/>
  <c r="L43" i="7" s="1"/>
  <c r="J44" i="7" l="1"/>
  <c r="L44" i="7" s="1"/>
  <c r="I45" i="7"/>
  <c r="H45" i="7"/>
  <c r="G45" i="7"/>
  <c r="B47" i="7"/>
  <c r="F46" i="7"/>
  <c r="J45" i="7" l="1"/>
  <c r="H46" i="7"/>
  <c r="G46" i="7"/>
  <c r="I46" i="7"/>
  <c r="F47" i="7"/>
  <c r="B48" i="7"/>
  <c r="L45" i="7"/>
  <c r="J46" i="7" l="1"/>
  <c r="L46" i="7" s="1"/>
  <c r="B49" i="7"/>
  <c r="F48" i="7"/>
  <c r="I47" i="7"/>
  <c r="G47" i="7"/>
  <c r="H47" i="7"/>
  <c r="J47" i="7" s="1"/>
  <c r="L47" i="7" s="1"/>
  <c r="I48" i="7" l="1"/>
  <c r="H48" i="7"/>
  <c r="G48" i="7"/>
  <c r="F49" i="7"/>
  <c r="B50" i="7"/>
  <c r="J48" i="7" l="1"/>
  <c r="L48" i="7" s="1"/>
  <c r="B51" i="7"/>
  <c r="F50" i="7"/>
  <c r="H49" i="7"/>
  <c r="G49" i="7"/>
  <c r="I49" i="7"/>
  <c r="J49" i="7" s="1"/>
  <c r="L49" i="7" s="1"/>
  <c r="H50" i="7" l="1"/>
  <c r="G50" i="7"/>
  <c r="I50" i="7"/>
  <c r="B52" i="7"/>
  <c r="F51" i="7"/>
  <c r="J50" i="7" l="1"/>
  <c r="L50" i="7" s="1"/>
  <c r="B53" i="7"/>
  <c r="F52" i="7"/>
  <c r="I51" i="7"/>
  <c r="G51" i="7"/>
  <c r="H51" i="7"/>
  <c r="J51" i="7" l="1"/>
  <c r="L51" i="7" s="1"/>
  <c r="I52" i="7"/>
  <c r="H52" i="7"/>
  <c r="G52" i="7"/>
  <c r="F53" i="7"/>
  <c r="B54" i="7"/>
  <c r="J52" i="7" l="1"/>
  <c r="B55" i="7"/>
  <c r="F54" i="7"/>
  <c r="H53" i="7"/>
  <c r="G53" i="7"/>
  <c r="I53" i="7"/>
  <c r="L52" i="7"/>
  <c r="H54" i="7" l="1"/>
  <c r="G54" i="7"/>
  <c r="I54" i="7"/>
  <c r="F55" i="7"/>
  <c r="B56" i="7"/>
  <c r="J53" i="7"/>
  <c r="L53" i="7" s="1"/>
  <c r="J54" i="7" l="1"/>
  <c r="L54" i="7" s="1"/>
  <c r="B57" i="7"/>
  <c r="F56" i="7"/>
  <c r="I55" i="7"/>
  <c r="H55" i="7"/>
  <c r="G55" i="7"/>
  <c r="J55" i="7" l="1"/>
  <c r="L55" i="7" s="1"/>
  <c r="H56" i="7"/>
  <c r="I56" i="7"/>
  <c r="G56" i="7"/>
  <c r="B58" i="7"/>
  <c r="F57" i="7"/>
  <c r="J56" i="7" l="1"/>
  <c r="L56" i="7" s="1"/>
  <c r="H57" i="7"/>
  <c r="I57" i="7"/>
  <c r="J57" i="7" s="1"/>
  <c r="G57" i="7"/>
  <c r="F58" i="7"/>
  <c r="B59" i="7"/>
  <c r="B60" i="7" l="1"/>
  <c r="F59" i="7"/>
  <c r="I58" i="7"/>
  <c r="H58" i="7"/>
  <c r="G58" i="7"/>
  <c r="L57" i="7"/>
  <c r="J58" i="7" l="1"/>
  <c r="L58" i="7" s="1"/>
  <c r="I59" i="7"/>
  <c r="H59" i="7"/>
  <c r="G59" i="7"/>
  <c r="F60" i="7"/>
  <c r="B61" i="7"/>
  <c r="B62" i="7" l="1"/>
  <c r="F61" i="7"/>
  <c r="H60" i="7"/>
  <c r="I60" i="7"/>
  <c r="G60" i="7"/>
  <c r="J59" i="7"/>
  <c r="L59" i="7" s="1"/>
  <c r="J60" i="7" l="1"/>
  <c r="L60" i="7" s="1"/>
  <c r="H61" i="7"/>
  <c r="G61" i="7"/>
  <c r="I61" i="7"/>
  <c r="F62" i="7"/>
  <c r="B63" i="7"/>
  <c r="B64" i="7" l="1"/>
  <c r="F63" i="7"/>
  <c r="J61" i="7"/>
  <c r="L61" i="7" s="1"/>
  <c r="I62" i="7"/>
  <c r="G62" i="7"/>
  <c r="H62" i="7"/>
  <c r="J62" i="7" s="1"/>
  <c r="L62" i="7" s="1"/>
  <c r="I63" i="7" l="1"/>
  <c r="H63" i="7"/>
  <c r="G63" i="7"/>
  <c r="F64" i="7"/>
  <c r="B65" i="7"/>
  <c r="J63" i="7" l="1"/>
  <c r="L63" i="7" s="1"/>
  <c r="H64" i="7"/>
  <c r="G64" i="7"/>
  <c r="I64" i="7"/>
  <c r="B66" i="7"/>
  <c r="F65" i="7"/>
  <c r="I65" i="7" l="1"/>
  <c r="J65" i="7" s="1"/>
  <c r="L65" i="7" s="1"/>
  <c r="G65" i="7"/>
  <c r="H65" i="7"/>
  <c r="B67" i="7"/>
  <c r="F66" i="7"/>
  <c r="J64" i="7"/>
  <c r="L64" i="7" s="1"/>
  <c r="I66" i="7" l="1"/>
  <c r="H66" i="7"/>
  <c r="G66" i="7"/>
  <c r="B68" i="7"/>
  <c r="F67" i="7"/>
  <c r="J66" i="7" l="1"/>
  <c r="L66" i="7" s="1"/>
  <c r="H67" i="7"/>
  <c r="G67" i="7"/>
  <c r="I67" i="7"/>
  <c r="B69" i="7"/>
  <c r="F68" i="7"/>
  <c r="H68" i="7" l="1"/>
  <c r="I68" i="7"/>
  <c r="G68" i="7"/>
  <c r="F69" i="7"/>
  <c r="B70" i="7"/>
  <c r="J67" i="7"/>
  <c r="L67" i="7" s="1"/>
  <c r="J68" i="7" l="1"/>
  <c r="L68" i="7" s="1"/>
  <c r="F70" i="7"/>
  <c r="B71" i="7"/>
  <c r="I69" i="7"/>
  <c r="H69" i="7"/>
  <c r="J69" i="7" s="1"/>
  <c r="G69" i="7"/>
  <c r="L69" i="7" l="1"/>
  <c r="I70" i="7"/>
  <c r="H70" i="7"/>
  <c r="J70" i="7" s="1"/>
  <c r="G70" i="7"/>
  <c r="B72" i="7"/>
  <c r="F71" i="7"/>
  <c r="L70" i="7" l="1"/>
  <c r="I71" i="7"/>
  <c r="G71" i="7"/>
  <c r="H71" i="7"/>
  <c r="J71" i="7" s="1"/>
  <c r="L71" i="7" s="1"/>
  <c r="B73" i="7"/>
  <c r="F72" i="7"/>
  <c r="I72" i="7" l="1"/>
  <c r="G72" i="7"/>
  <c r="H72" i="7"/>
  <c r="B74" i="7"/>
  <c r="F73" i="7"/>
  <c r="B75" i="7" l="1"/>
  <c r="F74" i="7"/>
  <c r="I73" i="7"/>
  <c r="J73" i="7" s="1"/>
  <c r="L73" i="7" s="1"/>
  <c r="H73" i="7"/>
  <c r="G73" i="7"/>
  <c r="J72" i="7"/>
  <c r="L72" i="7" s="1"/>
  <c r="H74" i="7" l="1"/>
  <c r="G74" i="7"/>
  <c r="I74" i="7"/>
  <c r="B76" i="7"/>
  <c r="F75" i="7"/>
  <c r="J74" i="7" l="1"/>
  <c r="L74" i="7" s="1"/>
  <c r="F76" i="7"/>
  <c r="B77" i="7"/>
  <c r="H75" i="7"/>
  <c r="G75" i="7"/>
  <c r="I75" i="7"/>
  <c r="J75" i="7" l="1"/>
  <c r="L75" i="7" s="1"/>
  <c r="B78" i="7"/>
  <c r="F77" i="7"/>
  <c r="I76" i="7"/>
  <c r="H76" i="7"/>
  <c r="G76" i="7"/>
  <c r="J76" i="7" l="1"/>
  <c r="L76" i="7" s="1"/>
  <c r="F78" i="7"/>
  <c r="B79" i="7"/>
  <c r="I77" i="7"/>
  <c r="H77" i="7"/>
  <c r="G77" i="7"/>
  <c r="J77" i="7" l="1"/>
  <c r="H78" i="7"/>
  <c r="I78" i="7"/>
  <c r="G78" i="7"/>
  <c r="B80" i="7"/>
  <c r="F79" i="7"/>
  <c r="L77" i="7"/>
  <c r="I79" i="7" l="1"/>
  <c r="H79" i="7"/>
  <c r="J79" i="7" s="1"/>
  <c r="G79" i="7"/>
  <c r="B81" i="7"/>
  <c r="F80" i="7"/>
  <c r="J78" i="7"/>
  <c r="L78" i="7" s="1"/>
  <c r="B82" i="7" l="1"/>
  <c r="F81" i="7"/>
  <c r="L79" i="7"/>
  <c r="I80" i="7"/>
  <c r="H80" i="7"/>
  <c r="J80" i="7" s="1"/>
  <c r="G80" i="7"/>
  <c r="L80" i="7" l="1"/>
  <c r="H81" i="7"/>
  <c r="G81" i="7"/>
  <c r="I81" i="7"/>
  <c r="B83" i="7"/>
  <c r="F82" i="7"/>
  <c r="J81" i="7" l="1"/>
  <c r="L81" i="7" s="1"/>
  <c r="H82" i="7"/>
  <c r="G82" i="7"/>
  <c r="I82" i="7"/>
  <c r="B84" i="7"/>
  <c r="F83" i="7"/>
  <c r="J82" i="7" l="1"/>
  <c r="L82" i="7" s="1"/>
  <c r="I83" i="7"/>
  <c r="H83" i="7"/>
  <c r="J83" i="7" s="1"/>
  <c r="G83" i="7"/>
  <c r="B85" i="7"/>
  <c r="F84" i="7"/>
  <c r="L83" i="7" l="1"/>
  <c r="I84" i="7"/>
  <c r="H84" i="7"/>
  <c r="G84" i="7"/>
  <c r="F85" i="7"/>
  <c r="B86" i="7"/>
  <c r="J84" i="7" l="1"/>
  <c r="H85" i="7"/>
  <c r="I85" i="7"/>
  <c r="G85" i="7"/>
  <c r="L84" i="7"/>
  <c r="F86" i="7"/>
  <c r="B87" i="7"/>
  <c r="B88" i="7" l="1"/>
  <c r="F87" i="7"/>
  <c r="H86" i="7"/>
  <c r="G86" i="7"/>
  <c r="I86" i="7"/>
  <c r="J85" i="7"/>
  <c r="L85" i="7" s="1"/>
  <c r="J86" i="7" l="1"/>
  <c r="L86" i="7" s="1"/>
  <c r="I87" i="7"/>
  <c r="H87" i="7"/>
  <c r="J87" i="7" s="1"/>
  <c r="G87" i="7"/>
  <c r="B89" i="7"/>
  <c r="F88" i="7"/>
  <c r="F89" i="7" l="1"/>
  <c r="B90" i="7"/>
  <c r="H88" i="7"/>
  <c r="I88" i="7"/>
  <c r="G88" i="7"/>
  <c r="L87" i="7"/>
  <c r="J88" i="7" l="1"/>
  <c r="L88" i="7" s="1"/>
  <c r="F90" i="7"/>
  <c r="B91" i="7"/>
  <c r="H89" i="7"/>
  <c r="I89" i="7"/>
  <c r="J89" i="7" s="1"/>
  <c r="G89" i="7"/>
  <c r="L89" i="7" l="1"/>
  <c r="F91" i="7"/>
  <c r="B92" i="7"/>
  <c r="I90" i="7"/>
  <c r="H90" i="7"/>
  <c r="G90" i="7"/>
  <c r="B93" i="7" l="1"/>
  <c r="F92" i="7"/>
  <c r="J90" i="7"/>
  <c r="L90" i="7" s="1"/>
  <c r="I91" i="7"/>
  <c r="H91" i="7"/>
  <c r="J91" i="7" s="1"/>
  <c r="G91" i="7"/>
  <c r="L91" i="7" l="1"/>
  <c r="H92" i="7"/>
  <c r="I92" i="7"/>
  <c r="G92" i="7"/>
  <c r="F93" i="7"/>
  <c r="B94" i="7"/>
  <c r="F94" i="7" l="1"/>
  <c r="B95" i="7"/>
  <c r="H93" i="7"/>
  <c r="I93" i="7"/>
  <c r="G93" i="7"/>
  <c r="J92" i="7"/>
  <c r="L92" i="7" s="1"/>
  <c r="I94" i="7" l="1"/>
  <c r="H94" i="7"/>
  <c r="G94" i="7"/>
  <c r="J93" i="7"/>
  <c r="L93" i="7" s="1"/>
  <c r="B96" i="7"/>
  <c r="F95" i="7"/>
  <c r="I95" i="7" l="1"/>
  <c r="H95" i="7"/>
  <c r="G95" i="7"/>
  <c r="F96" i="7"/>
  <c r="B97" i="7"/>
  <c r="J94" i="7"/>
  <c r="L94" i="7" s="1"/>
  <c r="J95" i="7" l="1"/>
  <c r="L95" i="7" s="1"/>
  <c r="B98" i="7"/>
  <c r="F97" i="7"/>
  <c r="H96" i="7"/>
  <c r="G96" i="7"/>
  <c r="I96" i="7"/>
  <c r="J96" i="7" l="1"/>
  <c r="L96" i="7" s="1"/>
  <c r="I97" i="7"/>
  <c r="H97" i="7"/>
  <c r="G97" i="7"/>
  <c r="F98" i="7"/>
  <c r="B99" i="7"/>
  <c r="J97" i="7" l="1"/>
  <c r="L97" i="7" s="1"/>
  <c r="B100" i="7"/>
  <c r="F99" i="7"/>
  <c r="I98" i="7"/>
  <c r="H98" i="7"/>
  <c r="G98" i="7"/>
  <c r="H99" i="7" l="1"/>
  <c r="G99" i="7"/>
  <c r="I99" i="7"/>
  <c r="B101" i="7"/>
  <c r="F100" i="7"/>
  <c r="J98" i="7"/>
  <c r="L98" i="7" s="1"/>
  <c r="J99" i="7" l="1"/>
  <c r="L99" i="7" s="1"/>
  <c r="B102" i="7"/>
  <c r="F101" i="7"/>
  <c r="H100" i="7"/>
  <c r="I100" i="7"/>
  <c r="G100" i="7"/>
  <c r="J100" i="7" l="1"/>
  <c r="L100" i="7" s="1"/>
  <c r="F102" i="7"/>
  <c r="B103" i="7"/>
  <c r="I101" i="7"/>
  <c r="H101" i="7"/>
  <c r="G101" i="7"/>
  <c r="J101" i="7" l="1"/>
  <c r="L101" i="7"/>
  <c r="F103" i="7"/>
  <c r="B104" i="7"/>
  <c r="I102" i="7"/>
  <c r="H102" i="7"/>
  <c r="G102" i="7"/>
  <c r="J102" i="7" l="1"/>
  <c r="B105" i="7"/>
  <c r="F104" i="7"/>
  <c r="I103" i="7"/>
  <c r="H103" i="7"/>
  <c r="G103" i="7"/>
  <c r="L102" i="7"/>
  <c r="I104" i="7" l="1"/>
  <c r="H104" i="7"/>
  <c r="G104" i="7"/>
  <c r="B106" i="7"/>
  <c r="F105" i="7"/>
  <c r="J103" i="7"/>
  <c r="L103" i="7" s="1"/>
  <c r="I105" i="7" l="1"/>
  <c r="H105" i="7"/>
  <c r="G105" i="7"/>
  <c r="F106" i="7"/>
  <c r="B107" i="7"/>
  <c r="J104" i="7"/>
  <c r="L104" i="7" s="1"/>
  <c r="B108" i="7" l="1"/>
  <c r="F107" i="7"/>
  <c r="H106" i="7"/>
  <c r="I106" i="7"/>
  <c r="G106" i="7"/>
  <c r="J105" i="7"/>
  <c r="L105" i="7" s="1"/>
  <c r="H107" i="7" l="1"/>
  <c r="I107" i="7"/>
  <c r="G107" i="7"/>
  <c r="B109" i="7"/>
  <c r="F108" i="7"/>
  <c r="J106" i="7"/>
  <c r="L106" i="7" s="1"/>
  <c r="J107" i="7" l="1"/>
  <c r="L107" i="7" s="1"/>
  <c r="I108" i="7"/>
  <c r="H108" i="7"/>
  <c r="G108" i="7"/>
  <c r="F109" i="7"/>
  <c r="B110" i="7"/>
  <c r="J108" i="7" l="1"/>
  <c r="L108" i="7" s="1"/>
  <c r="B111" i="7"/>
  <c r="F110" i="7"/>
  <c r="I109" i="7"/>
  <c r="H109" i="7"/>
  <c r="G109" i="7"/>
  <c r="J109" i="7" l="1"/>
  <c r="L109" i="7" s="1"/>
  <c r="H110" i="7"/>
  <c r="G110" i="7"/>
  <c r="I110" i="7"/>
  <c r="B112" i="7"/>
  <c r="F111" i="7"/>
  <c r="J110" i="7" l="1"/>
  <c r="L110" i="7" s="1"/>
  <c r="I111" i="7"/>
  <c r="G111" i="7"/>
  <c r="H111" i="7"/>
  <c r="B113" i="7"/>
  <c r="F112" i="7"/>
  <c r="I112" i="7" l="1"/>
  <c r="H112" i="7"/>
  <c r="J112" i="7" s="1"/>
  <c r="G112" i="7"/>
  <c r="B114" i="7"/>
  <c r="F113" i="7"/>
  <c r="J111" i="7"/>
  <c r="L111" i="7" s="1"/>
  <c r="H113" i="7" l="1"/>
  <c r="G113" i="7"/>
  <c r="I113" i="7"/>
  <c r="F114" i="7"/>
  <c r="B115" i="7"/>
  <c r="L112" i="7"/>
  <c r="B116" i="7" l="1"/>
  <c r="F115" i="7"/>
  <c r="H114" i="7"/>
  <c r="G114" i="7"/>
  <c r="I114" i="7"/>
  <c r="J114" i="7" s="1"/>
  <c r="L114" i="7" s="1"/>
  <c r="J113" i="7"/>
  <c r="L113" i="7" s="1"/>
  <c r="I115" i="7" l="1"/>
  <c r="H115" i="7"/>
  <c r="G115" i="7"/>
  <c r="F116" i="7"/>
  <c r="B117" i="7"/>
  <c r="J115" i="7" l="1"/>
  <c r="F117" i="7"/>
  <c r="B118" i="7"/>
  <c r="I116" i="7"/>
  <c r="H116" i="7"/>
  <c r="G116" i="7"/>
  <c r="L115" i="7"/>
  <c r="J116" i="7" l="1"/>
  <c r="L116" i="7" s="1"/>
  <c r="B119" i="7"/>
  <c r="F118" i="7"/>
  <c r="H117" i="7"/>
  <c r="I117" i="7"/>
  <c r="G117" i="7"/>
  <c r="J117" i="7" l="1"/>
  <c r="L117" i="7" s="1"/>
  <c r="H118" i="7"/>
  <c r="I118" i="7"/>
  <c r="G118" i="7"/>
  <c r="B120" i="7"/>
  <c r="F119" i="7"/>
  <c r="J118" i="7" l="1"/>
  <c r="L118" i="7" s="1"/>
  <c r="I119" i="7"/>
  <c r="H119" i="7"/>
  <c r="G119" i="7"/>
  <c r="B121" i="7"/>
  <c r="F120" i="7"/>
  <c r="H120" i="7" l="1"/>
  <c r="I120" i="7"/>
  <c r="G120" i="7"/>
  <c r="B122" i="7"/>
  <c r="F121" i="7"/>
  <c r="J119" i="7"/>
  <c r="L119" i="7" s="1"/>
  <c r="J120" i="7" l="1"/>
  <c r="L120" i="7" s="1"/>
  <c r="B123" i="7"/>
  <c r="F122" i="7"/>
  <c r="H121" i="7"/>
  <c r="I121" i="7"/>
  <c r="J121" i="7" s="1"/>
  <c r="L121" i="7" s="1"/>
  <c r="G121" i="7"/>
  <c r="I122" i="7" l="1"/>
  <c r="H122" i="7"/>
  <c r="G122" i="7"/>
  <c r="F123" i="7"/>
  <c r="B124" i="7"/>
  <c r="J122" i="7" l="1"/>
  <c r="L122" i="7" s="1"/>
  <c r="F124" i="7"/>
  <c r="B125" i="7"/>
  <c r="I123" i="7"/>
  <c r="H123" i="7"/>
  <c r="J123" i="7" s="1"/>
  <c r="G123" i="7"/>
  <c r="L123" i="7" l="1"/>
  <c r="F125" i="7"/>
  <c r="B126" i="7"/>
  <c r="H124" i="7"/>
  <c r="I124" i="7"/>
  <c r="G124" i="7"/>
  <c r="J124" i="7" l="1"/>
  <c r="L124" i="7" s="1"/>
  <c r="F126" i="7"/>
  <c r="B127" i="7"/>
  <c r="H125" i="7"/>
  <c r="I125" i="7"/>
  <c r="G125" i="7"/>
  <c r="I126" i="7" l="1"/>
  <c r="H126" i="7"/>
  <c r="G126" i="7"/>
  <c r="J125" i="7"/>
  <c r="L125" i="7" s="1"/>
  <c r="F127" i="7"/>
  <c r="B128" i="7"/>
  <c r="I127" i="7" l="1"/>
  <c r="H127" i="7"/>
  <c r="G127" i="7"/>
  <c r="F128" i="7"/>
  <c r="B129" i="7"/>
  <c r="J126" i="7"/>
  <c r="L126" i="7" s="1"/>
  <c r="J127" i="7" l="1"/>
  <c r="L127" i="7" s="1"/>
  <c r="F129" i="7"/>
  <c r="B130" i="7"/>
  <c r="H128" i="7"/>
  <c r="G128" i="7"/>
  <c r="I128" i="7"/>
  <c r="J128" i="7" l="1"/>
  <c r="L128" i="7" s="1"/>
  <c r="B131" i="7"/>
  <c r="F130" i="7"/>
  <c r="I129" i="7"/>
  <c r="H129" i="7"/>
  <c r="G129" i="7"/>
  <c r="J129" i="7" l="1"/>
  <c r="L129" i="7" s="1"/>
  <c r="F131" i="7"/>
  <c r="B132" i="7"/>
  <c r="I130" i="7"/>
  <c r="J130" i="7" s="1"/>
  <c r="H130" i="7"/>
  <c r="G130" i="7"/>
  <c r="B133" i="7" l="1"/>
  <c r="F132" i="7"/>
  <c r="L130" i="7"/>
  <c r="H131" i="7"/>
  <c r="G131" i="7"/>
  <c r="I131" i="7"/>
  <c r="J131" i="7" l="1"/>
  <c r="L131" i="7" s="1"/>
  <c r="H132" i="7"/>
  <c r="I132" i="7"/>
  <c r="G132" i="7"/>
  <c r="F133" i="7"/>
  <c r="B134" i="7"/>
  <c r="I133" i="7" l="1"/>
  <c r="H133" i="7"/>
  <c r="J133" i="7" s="1"/>
  <c r="G133" i="7"/>
  <c r="B135" i="7"/>
  <c r="F134" i="7"/>
  <c r="J132" i="7"/>
  <c r="L132" i="7" s="1"/>
  <c r="L133" i="7" l="1"/>
  <c r="I134" i="7"/>
  <c r="H134" i="7"/>
  <c r="J134" i="7" s="1"/>
  <c r="G134" i="7"/>
  <c r="F135" i="7"/>
  <c r="B136" i="7"/>
  <c r="L134" i="7" l="1"/>
  <c r="B137" i="7"/>
  <c r="F136" i="7"/>
  <c r="I135" i="7"/>
  <c r="H135" i="7"/>
  <c r="G135" i="7"/>
  <c r="J135" i="7" l="1"/>
  <c r="L135" i="7"/>
  <c r="I136" i="7"/>
  <c r="H136" i="7"/>
  <c r="J136" i="7" s="1"/>
  <c r="G136" i="7"/>
  <c r="F137" i="7"/>
  <c r="B138" i="7"/>
  <c r="B139" i="7" l="1"/>
  <c r="F138" i="7"/>
  <c r="I137" i="7"/>
  <c r="H137" i="7"/>
  <c r="G137" i="7"/>
  <c r="L136" i="7"/>
  <c r="J137" i="7" l="1"/>
  <c r="L137" i="7" s="1"/>
  <c r="H138" i="7"/>
  <c r="G138" i="7"/>
  <c r="I138" i="7"/>
  <c r="J138" i="7" s="1"/>
  <c r="L138" i="7" s="1"/>
  <c r="B140" i="7"/>
  <c r="F139" i="7"/>
  <c r="H139" i="7" l="1"/>
  <c r="G139" i="7"/>
  <c r="I139" i="7"/>
  <c r="B141" i="7"/>
  <c r="F140" i="7"/>
  <c r="J139" i="7" l="1"/>
  <c r="L139" i="7" s="1"/>
  <c r="I140" i="7"/>
  <c r="H140" i="7"/>
  <c r="J140" i="7" s="1"/>
  <c r="G140" i="7"/>
  <c r="B142" i="7"/>
  <c r="F141" i="7"/>
  <c r="L140" i="7" l="1"/>
  <c r="I141" i="7"/>
  <c r="H141" i="7"/>
  <c r="G141" i="7"/>
  <c r="F142" i="7"/>
  <c r="B143" i="7"/>
  <c r="J141" i="7" l="1"/>
  <c r="L141" i="7" s="1"/>
  <c r="B144" i="7"/>
  <c r="F143" i="7"/>
  <c r="H142" i="7"/>
  <c r="G142" i="7"/>
  <c r="I142" i="7"/>
  <c r="B145" i="7" l="1"/>
  <c r="F144" i="7"/>
  <c r="J142" i="7"/>
  <c r="L142" i="7" s="1"/>
  <c r="I143" i="7"/>
  <c r="H143" i="7"/>
  <c r="G143" i="7"/>
  <c r="J143" i="7" l="1"/>
  <c r="L143" i="7" s="1"/>
  <c r="I144" i="7"/>
  <c r="H144" i="7"/>
  <c r="G144" i="7"/>
  <c r="B146" i="7"/>
  <c r="F145" i="7"/>
  <c r="J144" i="7" l="1"/>
  <c r="L144" i="7" s="1"/>
  <c r="I145" i="7"/>
  <c r="H145" i="7"/>
  <c r="G145" i="7"/>
  <c r="B147" i="7"/>
  <c r="F146" i="7"/>
  <c r="F147" i="7" l="1"/>
  <c r="B148" i="7"/>
  <c r="I146" i="7"/>
  <c r="G146" i="7"/>
  <c r="H146" i="7"/>
  <c r="J145" i="7"/>
  <c r="L145" i="7" s="1"/>
  <c r="I147" i="7" l="1"/>
  <c r="G147" i="7"/>
  <c r="H147" i="7"/>
  <c r="J146" i="7"/>
  <c r="L146" i="7" s="1"/>
  <c r="B149" i="7"/>
  <c r="F148" i="7"/>
  <c r="J147" i="7" l="1"/>
  <c r="L147" i="7" s="1"/>
  <c r="I148" i="7"/>
  <c r="H148" i="7"/>
  <c r="G148" i="7"/>
  <c r="F149" i="7"/>
  <c r="B150" i="7"/>
  <c r="F150" i="7" l="1"/>
  <c r="B151" i="7"/>
  <c r="J148" i="7"/>
  <c r="L148" i="7" s="1"/>
  <c r="I149" i="7"/>
  <c r="H149" i="7"/>
  <c r="G149" i="7"/>
  <c r="J149" i="7" l="1"/>
  <c r="I150" i="7"/>
  <c r="H150" i="7"/>
  <c r="G150" i="7"/>
  <c r="L149" i="7"/>
  <c r="B152" i="7"/>
  <c r="F151" i="7"/>
  <c r="J150" i="7" l="1"/>
  <c r="L150" i="7" s="1"/>
  <c r="G151" i="7"/>
  <c r="I151" i="7"/>
  <c r="H151" i="7"/>
  <c r="J151" i="7" s="1"/>
  <c r="B153" i="7"/>
  <c r="F152" i="7"/>
  <c r="L151" i="7" l="1"/>
  <c r="B154" i="7"/>
  <c r="F153" i="7"/>
  <c r="I152" i="7"/>
  <c r="H152" i="7"/>
  <c r="G152" i="7"/>
  <c r="J152" i="7" l="1"/>
  <c r="L152" i="7" s="1"/>
  <c r="I153" i="7"/>
  <c r="H153" i="7"/>
  <c r="G153" i="7"/>
  <c r="B155" i="7"/>
  <c r="F154" i="7"/>
  <c r="J153" i="7" l="1"/>
  <c r="L153" i="7" s="1"/>
  <c r="H154" i="7"/>
  <c r="I154" i="7"/>
  <c r="G154" i="7"/>
  <c r="F155" i="7"/>
  <c r="B156" i="7"/>
  <c r="J154" i="7" l="1"/>
  <c r="L154" i="7" s="1"/>
  <c r="B157" i="7"/>
  <c r="F156" i="7"/>
  <c r="I155" i="7"/>
  <c r="H155" i="7"/>
  <c r="J155" i="7" s="1"/>
  <c r="G155" i="7"/>
  <c r="L155" i="7" l="1"/>
  <c r="I156" i="7"/>
  <c r="G156" i="7"/>
  <c r="H156" i="7"/>
  <c r="J156" i="7" s="1"/>
  <c r="L156" i="7" s="1"/>
  <c r="F157" i="7"/>
  <c r="B158" i="7"/>
  <c r="B159" i="7" l="1"/>
  <c r="F158" i="7"/>
  <c r="I157" i="7"/>
  <c r="G157" i="7"/>
  <c r="H157" i="7"/>
  <c r="J157" i="7" l="1"/>
  <c r="L157" i="7" s="1"/>
  <c r="H158" i="7"/>
  <c r="G158" i="7"/>
  <c r="I158" i="7"/>
  <c r="B160" i="7"/>
  <c r="F159" i="7"/>
  <c r="I159" i="7" l="1"/>
  <c r="G159" i="7"/>
  <c r="H159" i="7"/>
  <c r="J159" i="7" s="1"/>
  <c r="B161" i="7"/>
  <c r="F160" i="7"/>
  <c r="J158" i="7"/>
  <c r="L158" i="7" s="1"/>
  <c r="L159" i="7" l="1"/>
  <c r="I160" i="7"/>
  <c r="H160" i="7"/>
  <c r="G160" i="7"/>
  <c r="B162" i="7"/>
  <c r="F161" i="7"/>
  <c r="J160" i="7" l="1"/>
  <c r="L160" i="7" s="1"/>
  <c r="H161" i="7"/>
  <c r="I161" i="7"/>
  <c r="J161" i="7" s="1"/>
  <c r="L161" i="7" s="1"/>
  <c r="G161" i="7"/>
  <c r="B163" i="7"/>
  <c r="F162" i="7"/>
  <c r="H162" i="7" l="1"/>
  <c r="G162" i="7"/>
  <c r="I162" i="7"/>
  <c r="J162" i="7" s="1"/>
  <c r="L162" i="7" s="1"/>
  <c r="B164" i="7"/>
  <c r="F163" i="7"/>
  <c r="H163" i="7" l="1"/>
  <c r="I163" i="7"/>
  <c r="G163" i="7"/>
  <c r="B165" i="7"/>
  <c r="F164" i="7"/>
  <c r="I164" i="7" l="1"/>
  <c r="H164" i="7"/>
  <c r="G164" i="7"/>
  <c r="F165" i="7"/>
  <c r="B166" i="7"/>
  <c r="J163" i="7"/>
  <c r="L163" i="7" s="1"/>
  <c r="J164" i="7" l="1"/>
  <c r="B167" i="7"/>
  <c r="F166" i="7"/>
  <c r="H165" i="7"/>
  <c r="G165" i="7"/>
  <c r="I165" i="7"/>
  <c r="L164" i="7"/>
  <c r="J165" i="7" l="1"/>
  <c r="L165" i="7" s="1"/>
  <c r="I166" i="7"/>
  <c r="H166" i="7"/>
  <c r="G166" i="7"/>
  <c r="F167" i="7"/>
  <c r="B168" i="7"/>
  <c r="J166" i="7" l="1"/>
  <c r="L166" i="7" s="1"/>
  <c r="B169" i="7"/>
  <c r="F168" i="7"/>
  <c r="H167" i="7"/>
  <c r="G167" i="7"/>
  <c r="I167" i="7"/>
  <c r="J167" i="7" l="1"/>
  <c r="L167" i="7" s="1"/>
  <c r="H168" i="7"/>
  <c r="I168" i="7"/>
  <c r="G168" i="7"/>
  <c r="B170" i="7"/>
  <c r="F169" i="7"/>
  <c r="H169" i="7" l="1"/>
  <c r="G169" i="7"/>
  <c r="I169" i="7"/>
  <c r="F170" i="7"/>
  <c r="B171" i="7"/>
  <c r="J168" i="7"/>
  <c r="L168" i="7" s="1"/>
  <c r="J169" i="7" l="1"/>
  <c r="L169" i="7" s="1"/>
  <c r="H170" i="7"/>
  <c r="I170" i="7"/>
  <c r="G170" i="7"/>
  <c r="B172" i="7"/>
  <c r="F171" i="7"/>
  <c r="I171" i="7" l="1"/>
  <c r="H171" i="7"/>
  <c r="J171" i="7" s="1"/>
  <c r="G171" i="7"/>
  <c r="B173" i="7"/>
  <c r="F172" i="7"/>
  <c r="J170" i="7"/>
  <c r="L170" i="7" s="1"/>
  <c r="L171" i="7" l="1"/>
  <c r="H172" i="7"/>
  <c r="I172" i="7"/>
  <c r="G172" i="7"/>
  <c r="F173" i="7"/>
  <c r="B174" i="7"/>
  <c r="J172" i="7" l="1"/>
  <c r="L172" i="7" s="1"/>
  <c r="B175" i="7"/>
  <c r="F174" i="7"/>
  <c r="H173" i="7"/>
  <c r="G173" i="7"/>
  <c r="I173" i="7"/>
  <c r="J173" i="7" l="1"/>
  <c r="L173" i="7" s="1"/>
  <c r="H174" i="7"/>
  <c r="I174" i="7"/>
  <c r="G174" i="7"/>
  <c r="B176" i="7"/>
  <c r="F175" i="7"/>
  <c r="I175" i="7" l="1"/>
  <c r="H175" i="7"/>
  <c r="G175" i="7"/>
  <c r="B177" i="7"/>
  <c r="F176" i="7"/>
  <c r="J174" i="7"/>
  <c r="L174" i="7" s="1"/>
  <c r="H176" i="7" l="1"/>
  <c r="I176" i="7"/>
  <c r="G176" i="7"/>
  <c r="B178" i="7"/>
  <c r="F177" i="7"/>
  <c r="J175" i="7"/>
  <c r="L175" i="7" s="1"/>
  <c r="H177" i="7" l="1"/>
  <c r="I177" i="7"/>
  <c r="J177" i="7" s="1"/>
  <c r="G177" i="7"/>
  <c r="B179" i="7"/>
  <c r="F178" i="7"/>
  <c r="J176" i="7"/>
  <c r="L176" i="7" s="1"/>
  <c r="I178" i="7" l="1"/>
  <c r="H178" i="7"/>
  <c r="G178" i="7"/>
  <c r="B180" i="7"/>
  <c r="F179" i="7"/>
  <c r="L177" i="7"/>
  <c r="J178" i="7" l="1"/>
  <c r="L178" i="7" s="1"/>
  <c r="H179" i="7"/>
  <c r="G179" i="7"/>
  <c r="I179" i="7"/>
  <c r="B181" i="7"/>
  <c r="F180" i="7"/>
  <c r="H180" i="7" l="1"/>
  <c r="I180" i="7"/>
  <c r="G180" i="7"/>
  <c r="F181" i="7"/>
  <c r="B182" i="7"/>
  <c r="J179" i="7"/>
  <c r="L179" i="7" s="1"/>
  <c r="F182" i="7" l="1"/>
  <c r="B183" i="7"/>
  <c r="H181" i="7"/>
  <c r="I181" i="7"/>
  <c r="G181" i="7"/>
  <c r="J180" i="7"/>
  <c r="L180" i="7" s="1"/>
  <c r="J181" i="7" l="1"/>
  <c r="L181" i="7" s="1"/>
  <c r="B184" i="7"/>
  <c r="F183" i="7"/>
  <c r="I182" i="7"/>
  <c r="H182" i="7"/>
  <c r="J182" i="7" s="1"/>
  <c r="G182" i="7"/>
  <c r="I183" i="7" l="1"/>
  <c r="G183" i="7"/>
  <c r="H183" i="7"/>
  <c r="J183" i="7" s="1"/>
  <c r="L183" i="7" s="1"/>
  <c r="B185" i="7"/>
  <c r="F184" i="7"/>
  <c r="L182" i="7"/>
  <c r="H184" i="7" l="1"/>
  <c r="I184" i="7"/>
  <c r="G184" i="7"/>
  <c r="B186" i="7"/>
  <c r="F185" i="7"/>
  <c r="I185" i="7" l="1"/>
  <c r="H185" i="7"/>
  <c r="G185" i="7"/>
  <c r="F186" i="7"/>
  <c r="B187" i="7"/>
  <c r="J184" i="7"/>
  <c r="L184" i="7" s="1"/>
  <c r="F187" i="7" l="1"/>
  <c r="B188" i="7"/>
  <c r="H186" i="7"/>
  <c r="I186" i="7"/>
  <c r="G186" i="7"/>
  <c r="J185" i="7"/>
  <c r="L185" i="7" s="1"/>
  <c r="J186" i="7" l="1"/>
  <c r="L186" i="7" s="1"/>
  <c r="F188" i="7"/>
  <c r="B189" i="7"/>
  <c r="H187" i="7"/>
  <c r="I187" i="7"/>
  <c r="G187" i="7"/>
  <c r="H188" i="7" l="1"/>
  <c r="I188" i="7"/>
  <c r="G188" i="7"/>
  <c r="J187" i="7"/>
  <c r="L187" i="7" s="1"/>
  <c r="F189" i="7"/>
  <c r="B190" i="7"/>
  <c r="J188" i="7" l="1"/>
  <c r="L188" i="7" s="1"/>
  <c r="F190" i="7"/>
  <c r="B191" i="7"/>
  <c r="I189" i="7"/>
  <c r="G189" i="7"/>
  <c r="H189" i="7"/>
  <c r="J189" i="7" l="1"/>
  <c r="L189" i="7" s="1"/>
  <c r="B192" i="7"/>
  <c r="F191" i="7"/>
  <c r="H190" i="7"/>
  <c r="I190" i="7"/>
  <c r="G190" i="7"/>
  <c r="J190" i="7" l="1"/>
  <c r="L190" i="7" s="1"/>
  <c r="I191" i="7"/>
  <c r="G191" i="7"/>
  <c r="H191" i="7"/>
  <c r="B193" i="7"/>
  <c r="F192" i="7"/>
  <c r="I192" i="7" l="1"/>
  <c r="H192" i="7"/>
  <c r="G192" i="7"/>
  <c r="B194" i="7"/>
  <c r="F193" i="7"/>
  <c r="J191" i="7"/>
  <c r="L191" i="7" s="1"/>
  <c r="H193" i="7" l="1"/>
  <c r="J193" i="7" s="1"/>
  <c r="L193" i="7" s="1"/>
  <c r="I193" i="7"/>
  <c r="G193" i="7"/>
  <c r="F194" i="7"/>
  <c r="B195" i="7"/>
  <c r="J192" i="7"/>
  <c r="L192" i="7" s="1"/>
  <c r="F195" i="7" l="1"/>
  <c r="B196" i="7"/>
  <c r="I194" i="7"/>
  <c r="H194" i="7"/>
  <c r="G194" i="7"/>
  <c r="J194" i="7" l="1"/>
  <c r="L194" i="7" s="1"/>
  <c r="H195" i="7"/>
  <c r="I195" i="7"/>
  <c r="G195" i="7"/>
  <c r="B197" i="7"/>
  <c r="F196" i="7"/>
  <c r="I196" i="7" l="1"/>
  <c r="H196" i="7"/>
  <c r="G196" i="7"/>
  <c r="B198" i="7"/>
  <c r="F197" i="7"/>
  <c r="J195" i="7"/>
  <c r="L195" i="7" s="1"/>
  <c r="I197" i="7" l="1"/>
  <c r="H197" i="7"/>
  <c r="G197" i="7"/>
  <c r="F198" i="7"/>
  <c r="B199" i="7"/>
  <c r="J196" i="7"/>
  <c r="L196" i="7" s="1"/>
  <c r="B200" i="7" l="1"/>
  <c r="F199" i="7"/>
  <c r="J197" i="7"/>
  <c r="L197" i="7" s="1"/>
  <c r="I198" i="7"/>
  <c r="G198" i="7"/>
  <c r="H198" i="7"/>
  <c r="J198" i="7" s="1"/>
  <c r="L198" i="7" s="1"/>
  <c r="I199" i="7" l="1"/>
  <c r="G199" i="7"/>
  <c r="H199" i="7"/>
  <c r="F200" i="7"/>
  <c r="B201" i="7"/>
  <c r="J199" i="7" l="1"/>
  <c r="L199" i="7" s="1"/>
  <c r="B202" i="7"/>
  <c r="F201" i="7"/>
  <c r="I200" i="7"/>
  <c r="G200" i="7"/>
  <c r="H200" i="7"/>
  <c r="J200" i="7" s="1"/>
  <c r="L200" i="7" l="1"/>
  <c r="I201" i="7"/>
  <c r="H201" i="7"/>
  <c r="J201" i="7" s="1"/>
  <c r="G201" i="7"/>
  <c r="F202" i="7"/>
  <c r="B203" i="7"/>
  <c r="L201" i="7" l="1"/>
  <c r="I202" i="7"/>
  <c r="H202" i="7"/>
  <c r="G202" i="7"/>
  <c r="B204" i="7"/>
  <c r="F203" i="7"/>
  <c r="J202" i="7" l="1"/>
  <c r="H203" i="7"/>
  <c r="I203" i="7"/>
  <c r="G203" i="7"/>
  <c r="B205" i="7"/>
  <c r="F204" i="7"/>
  <c r="L202" i="7"/>
  <c r="H204" i="7" l="1"/>
  <c r="I204" i="7"/>
  <c r="G204" i="7"/>
  <c r="F205" i="7"/>
  <c r="B206" i="7"/>
  <c r="J203" i="7"/>
  <c r="L203" i="7" s="1"/>
  <c r="B207" i="7" l="1"/>
  <c r="F206" i="7"/>
  <c r="H205" i="7"/>
  <c r="I205" i="7"/>
  <c r="G205" i="7"/>
  <c r="J204" i="7"/>
  <c r="L204" i="7" s="1"/>
  <c r="J205" i="7" l="1"/>
  <c r="L205" i="7" s="1"/>
  <c r="I206" i="7"/>
  <c r="H206" i="7"/>
  <c r="J206" i="7" s="1"/>
  <c r="G206" i="7"/>
  <c r="F207" i="7"/>
  <c r="B208" i="7"/>
  <c r="B209" i="7" l="1"/>
  <c r="F208" i="7"/>
  <c r="I207" i="7"/>
  <c r="G207" i="7"/>
  <c r="H207" i="7"/>
  <c r="J207" i="7" s="1"/>
  <c r="L207" i="7" s="1"/>
  <c r="L206" i="7"/>
  <c r="H208" i="7" l="1"/>
  <c r="I208" i="7"/>
  <c r="G208" i="7"/>
  <c r="B210" i="7"/>
  <c r="F209" i="7"/>
  <c r="I209" i="7" l="1"/>
  <c r="H209" i="7"/>
  <c r="J209" i="7" s="1"/>
  <c r="G209" i="7"/>
  <c r="B211" i="7"/>
  <c r="F210" i="7"/>
  <c r="J208" i="7"/>
  <c r="L208" i="7" s="1"/>
  <c r="I210" i="7" l="1"/>
  <c r="H210" i="7"/>
  <c r="J210" i="7" s="1"/>
  <c r="G210" i="7"/>
  <c r="B212" i="7"/>
  <c r="F211" i="7"/>
  <c r="L209" i="7"/>
  <c r="I211" i="7" l="1"/>
  <c r="H211" i="7"/>
  <c r="G211" i="7"/>
  <c r="B213" i="7"/>
  <c r="F212" i="7"/>
  <c r="L210" i="7"/>
  <c r="H212" i="7" l="1"/>
  <c r="I212" i="7"/>
  <c r="J212" i="7" s="1"/>
  <c r="L212" i="7" s="1"/>
  <c r="G212" i="7"/>
  <c r="B214" i="7"/>
  <c r="F213" i="7"/>
  <c r="J211" i="7"/>
  <c r="L211" i="7" s="1"/>
  <c r="I213" i="7" l="1"/>
  <c r="H213" i="7"/>
  <c r="G213" i="7"/>
  <c r="B215" i="7"/>
  <c r="F214" i="7"/>
  <c r="I214" i="7" l="1"/>
  <c r="H214" i="7"/>
  <c r="J214" i="7" s="1"/>
  <c r="G214" i="7"/>
  <c r="B216" i="7"/>
  <c r="F215" i="7"/>
  <c r="J213" i="7"/>
  <c r="L213" i="7" s="1"/>
  <c r="H215" i="7" l="1"/>
  <c r="I215" i="7"/>
  <c r="G215" i="7"/>
  <c r="B217" i="7"/>
  <c r="F216" i="7"/>
  <c r="L214" i="7"/>
  <c r="I216" i="7" l="1"/>
  <c r="H216" i="7"/>
  <c r="J216" i="7" s="1"/>
  <c r="G216" i="7"/>
  <c r="B218" i="7"/>
  <c r="F217" i="7"/>
  <c r="J215" i="7"/>
  <c r="L215" i="7" s="1"/>
  <c r="B219" i="7" l="1"/>
  <c r="F218" i="7"/>
  <c r="I217" i="7"/>
  <c r="H217" i="7"/>
  <c r="J217" i="7" s="1"/>
  <c r="G217" i="7"/>
  <c r="L216" i="7"/>
  <c r="L217" i="7" l="1"/>
  <c r="H218" i="7"/>
  <c r="I218" i="7"/>
  <c r="G218" i="7"/>
  <c r="B220" i="7"/>
  <c r="F219" i="7"/>
  <c r="I219" i="7" l="1"/>
  <c r="H219" i="7"/>
  <c r="J219" i="7" s="1"/>
  <c r="G219" i="7"/>
  <c r="B221" i="7"/>
  <c r="F220" i="7"/>
  <c r="J218" i="7"/>
  <c r="L218" i="7" s="1"/>
  <c r="H220" i="7" l="1"/>
  <c r="I220" i="7"/>
  <c r="G220" i="7"/>
  <c r="B222" i="7"/>
  <c r="F221" i="7"/>
  <c r="L219" i="7"/>
  <c r="J220" i="7" l="1"/>
  <c r="H221" i="7"/>
  <c r="I221" i="7"/>
  <c r="G221" i="7"/>
  <c r="B223" i="7"/>
  <c r="F222" i="7"/>
  <c r="L220" i="7"/>
  <c r="H222" i="7" l="1"/>
  <c r="I222" i="7"/>
  <c r="G222" i="7"/>
  <c r="B224" i="7"/>
  <c r="F223" i="7"/>
  <c r="J221" i="7"/>
  <c r="L221" i="7" s="1"/>
  <c r="J222" i="7" l="1"/>
  <c r="L222" i="7" s="1"/>
  <c r="I223" i="7"/>
  <c r="H223" i="7"/>
  <c r="J223" i="7" s="1"/>
  <c r="G223" i="7"/>
  <c r="B225" i="7"/>
  <c r="F224" i="7"/>
  <c r="H224" i="7" l="1"/>
  <c r="G224" i="7"/>
  <c r="I224" i="7"/>
  <c r="B226" i="7"/>
  <c r="F225" i="7"/>
  <c r="L223" i="7"/>
  <c r="H225" i="7" l="1"/>
  <c r="I225" i="7"/>
  <c r="G225" i="7"/>
  <c r="B227" i="7"/>
  <c r="F226" i="7"/>
  <c r="J224" i="7"/>
  <c r="L224" i="7" s="1"/>
  <c r="I226" i="7" l="1"/>
  <c r="H226" i="7"/>
  <c r="G226" i="7"/>
  <c r="B228" i="7"/>
  <c r="F227" i="7"/>
  <c r="J225" i="7"/>
  <c r="L225" i="7" s="1"/>
  <c r="J226" i="7" l="1"/>
  <c r="L226" i="7" s="1"/>
  <c r="I227" i="7"/>
  <c r="H227" i="7"/>
  <c r="G227" i="7"/>
  <c r="B229" i="7"/>
  <c r="F228" i="7"/>
  <c r="J227" i="7" l="1"/>
  <c r="L227" i="7" s="1"/>
  <c r="I228" i="7"/>
  <c r="H228" i="7"/>
  <c r="G228" i="7"/>
  <c r="B230" i="7"/>
  <c r="F229" i="7"/>
  <c r="H229" i="7" l="1"/>
  <c r="G229" i="7"/>
  <c r="I229" i="7"/>
  <c r="B231" i="7"/>
  <c r="F230" i="7"/>
  <c r="J228" i="7"/>
  <c r="L228" i="7" s="1"/>
  <c r="I230" i="7" l="1"/>
  <c r="H230" i="7"/>
  <c r="G230" i="7"/>
  <c r="B232" i="7"/>
  <c r="F231" i="7"/>
  <c r="J229" i="7"/>
  <c r="L229" i="7" s="1"/>
  <c r="J230" i="7" l="1"/>
  <c r="H231" i="7"/>
  <c r="G231" i="7"/>
  <c r="I231" i="7"/>
  <c r="B233" i="7"/>
  <c r="F232" i="7"/>
  <c r="L230" i="7"/>
  <c r="B234" i="7" l="1"/>
  <c r="F233" i="7"/>
  <c r="H232" i="7"/>
  <c r="I232" i="7"/>
  <c r="G232" i="7"/>
  <c r="J231" i="7"/>
  <c r="L231" i="7" s="1"/>
  <c r="J232" i="7" l="1"/>
  <c r="L232" i="7" s="1"/>
  <c r="I233" i="7"/>
  <c r="H233" i="7"/>
  <c r="J233" i="7" s="1"/>
  <c r="G233" i="7"/>
  <c r="B235" i="7"/>
  <c r="F234" i="7"/>
  <c r="H234" i="7" l="1"/>
  <c r="I234" i="7"/>
  <c r="G234" i="7"/>
  <c r="B236" i="7"/>
  <c r="F235" i="7"/>
  <c r="L233" i="7"/>
  <c r="J234" i="7" l="1"/>
  <c r="L234" i="7" s="1"/>
  <c r="H235" i="7"/>
  <c r="I235" i="7"/>
  <c r="G235" i="7"/>
  <c r="B237" i="7"/>
  <c r="F236" i="7"/>
  <c r="I236" i="7" l="1"/>
  <c r="G236" i="7"/>
  <c r="H236" i="7"/>
  <c r="B238" i="7"/>
  <c r="F237" i="7"/>
  <c r="J235" i="7"/>
  <c r="L235" i="7" s="1"/>
  <c r="H237" i="7" l="1"/>
  <c r="G237" i="7"/>
  <c r="I237" i="7"/>
  <c r="B239" i="7"/>
  <c r="F238" i="7"/>
  <c r="J236" i="7"/>
  <c r="L236" i="7" s="1"/>
  <c r="H238" i="7" l="1"/>
  <c r="G238" i="7"/>
  <c r="I238" i="7"/>
  <c r="B240" i="7"/>
  <c r="F239" i="7"/>
  <c r="J237" i="7"/>
  <c r="L237" i="7" s="1"/>
  <c r="H239" i="7" l="1"/>
  <c r="J239" i="7" s="1"/>
  <c r="G239" i="7"/>
  <c r="I239" i="7"/>
  <c r="B241" i="7"/>
  <c r="F240" i="7"/>
  <c r="J238" i="7"/>
  <c r="L238" i="7" s="1"/>
  <c r="L239" i="7" l="1"/>
  <c r="H240" i="7"/>
  <c r="I240" i="7"/>
  <c r="G240" i="7"/>
  <c r="B242" i="7"/>
  <c r="F241" i="7"/>
  <c r="J240" i="7" l="1"/>
  <c r="L240" i="7" s="1"/>
  <c r="H241" i="7"/>
  <c r="I241" i="7"/>
  <c r="G241" i="7"/>
  <c r="B243" i="7"/>
  <c r="F242" i="7"/>
  <c r="J241" i="7" l="1"/>
  <c r="L241" i="7" s="1"/>
  <c r="H242" i="7"/>
  <c r="I242" i="7"/>
  <c r="G242" i="7"/>
  <c r="B244" i="7"/>
  <c r="F243" i="7"/>
  <c r="J242" i="7" l="1"/>
  <c r="L242" i="7" s="1"/>
  <c r="I243" i="7"/>
  <c r="H243" i="7"/>
  <c r="G243" i="7"/>
  <c r="B245" i="7"/>
  <c r="F244" i="7"/>
  <c r="J243" i="7" l="1"/>
  <c r="I244" i="7"/>
  <c r="H244" i="7"/>
  <c r="G244" i="7"/>
  <c r="L243" i="7"/>
  <c r="B246" i="7"/>
  <c r="F245" i="7"/>
  <c r="J244" i="7" l="1"/>
  <c r="L244" i="7" s="1"/>
  <c r="I245" i="7"/>
  <c r="G245" i="7"/>
  <c r="H245" i="7"/>
  <c r="B247" i="7"/>
  <c r="F246" i="7"/>
  <c r="J245" i="7" l="1"/>
  <c r="L245" i="7" s="1"/>
  <c r="H246" i="7"/>
  <c r="G246" i="7"/>
  <c r="I246" i="7"/>
  <c r="B248" i="7"/>
  <c r="F247" i="7"/>
  <c r="I247" i="7" l="1"/>
  <c r="H247" i="7"/>
  <c r="G247" i="7"/>
  <c r="B249" i="7"/>
  <c r="F248" i="7"/>
  <c r="J246" i="7"/>
  <c r="L246" i="7" s="1"/>
  <c r="J247" i="7" l="1"/>
  <c r="I248" i="7"/>
  <c r="H248" i="7"/>
  <c r="J248" i="7" s="1"/>
  <c r="G248" i="7"/>
  <c r="B250" i="7"/>
  <c r="F249" i="7"/>
  <c r="L247" i="7"/>
  <c r="H249" i="7" l="1"/>
  <c r="I249" i="7"/>
  <c r="G249" i="7"/>
  <c r="B251" i="7"/>
  <c r="F250" i="7"/>
  <c r="L248" i="7"/>
  <c r="B252" i="7" l="1"/>
  <c r="F251" i="7"/>
  <c r="I250" i="7"/>
  <c r="H250" i="7"/>
  <c r="J250" i="7" s="1"/>
  <c r="G250" i="7"/>
  <c r="J249" i="7"/>
  <c r="L249" i="7" s="1"/>
  <c r="L250" i="7" l="1"/>
  <c r="H251" i="7"/>
  <c r="I251" i="7"/>
  <c r="G251" i="7"/>
  <c r="B253" i="7"/>
  <c r="F252" i="7"/>
  <c r="H252" i="7" l="1"/>
  <c r="I252" i="7"/>
  <c r="J252" i="7" s="1"/>
  <c r="G252" i="7"/>
  <c r="B254" i="7"/>
  <c r="F253" i="7"/>
  <c r="J251" i="7"/>
  <c r="L251" i="7" s="1"/>
  <c r="I253" i="7" l="1"/>
  <c r="H253" i="7"/>
  <c r="J253" i="7" s="1"/>
  <c r="G253" i="7"/>
  <c r="B255" i="7"/>
  <c r="F254" i="7"/>
  <c r="L252" i="7"/>
  <c r="I254" i="7" l="1"/>
  <c r="H254" i="7"/>
  <c r="G254" i="7"/>
  <c r="B256" i="7"/>
  <c r="F255" i="7"/>
  <c r="L253" i="7"/>
  <c r="J254" i="7" l="1"/>
  <c r="L254" i="7" s="1"/>
  <c r="I255" i="7"/>
  <c r="H255" i="7"/>
  <c r="J255" i="7" s="1"/>
  <c r="G255" i="7"/>
  <c r="B257" i="7"/>
  <c r="F256" i="7"/>
  <c r="I256" i="7" l="1"/>
  <c r="H256" i="7"/>
  <c r="G256" i="7"/>
  <c r="B258" i="7"/>
  <c r="F257" i="7"/>
  <c r="L255" i="7"/>
  <c r="I257" i="7" l="1"/>
  <c r="H257" i="7"/>
  <c r="G257" i="7"/>
  <c r="B259" i="7"/>
  <c r="F258" i="7"/>
  <c r="J256" i="7"/>
  <c r="L256" i="7" s="1"/>
  <c r="J257" i="7" l="1"/>
  <c r="L257" i="7" s="1"/>
  <c r="I258" i="7"/>
  <c r="H258" i="7"/>
  <c r="J258" i="7" s="1"/>
  <c r="G258" i="7"/>
  <c r="B260" i="7"/>
  <c r="F259" i="7"/>
  <c r="H259" i="7" l="1"/>
  <c r="I259" i="7"/>
  <c r="G259" i="7"/>
  <c r="B261" i="7"/>
  <c r="F260" i="7"/>
  <c r="L258" i="7"/>
  <c r="J259" i="7" l="1"/>
  <c r="L259" i="7" s="1"/>
  <c r="I260" i="7"/>
  <c r="H260" i="7"/>
  <c r="G260" i="7"/>
  <c r="B262" i="7"/>
  <c r="F261" i="7"/>
  <c r="J260" i="7" l="1"/>
  <c r="L260" i="7" s="1"/>
  <c r="I261" i="7"/>
  <c r="H261" i="7"/>
  <c r="G261" i="7"/>
  <c r="B263" i="7"/>
  <c r="F262" i="7"/>
  <c r="J261" i="7" l="1"/>
  <c r="I262" i="7"/>
  <c r="G262" i="7"/>
  <c r="H262" i="7"/>
  <c r="B264" i="7"/>
  <c r="F263" i="7"/>
  <c r="L261" i="7"/>
  <c r="J262" i="7" l="1"/>
  <c r="L262" i="7" s="1"/>
  <c r="I263" i="7"/>
  <c r="G263" i="7"/>
  <c r="H263" i="7"/>
  <c r="B265" i="7"/>
  <c r="F264" i="7"/>
  <c r="J263" i="7" l="1"/>
  <c r="L263" i="7" s="1"/>
  <c r="B266" i="7"/>
  <c r="F265" i="7"/>
  <c r="I264" i="7"/>
  <c r="H264" i="7"/>
  <c r="G264" i="7"/>
  <c r="J264" i="7" l="1"/>
  <c r="L264" i="7"/>
  <c r="I265" i="7"/>
  <c r="H265" i="7"/>
  <c r="J265" i="7" s="1"/>
  <c r="G265" i="7"/>
  <c r="B267" i="7"/>
  <c r="F266" i="7"/>
  <c r="L265" i="7" l="1"/>
  <c r="I266" i="7"/>
  <c r="H266" i="7"/>
  <c r="G266" i="7"/>
  <c r="B268" i="7"/>
  <c r="F267" i="7"/>
  <c r="J266" i="7" l="1"/>
  <c r="L266" i="7" s="1"/>
  <c r="I267" i="7"/>
  <c r="H267" i="7"/>
  <c r="J267" i="7" s="1"/>
  <c r="G267" i="7"/>
  <c r="B269" i="7"/>
  <c r="F268" i="7"/>
  <c r="H268" i="7" l="1"/>
  <c r="I268" i="7"/>
  <c r="G268" i="7"/>
  <c r="B270" i="7"/>
  <c r="F269" i="7"/>
  <c r="L267" i="7"/>
  <c r="J268" i="7" l="1"/>
  <c r="L268" i="7" s="1"/>
  <c r="H269" i="7"/>
  <c r="I269" i="7"/>
  <c r="G269" i="7"/>
  <c r="B271" i="7"/>
  <c r="F270" i="7"/>
  <c r="I270" i="7" l="1"/>
  <c r="G270" i="7"/>
  <c r="H270" i="7"/>
  <c r="B272" i="7"/>
  <c r="F271" i="7"/>
  <c r="J269" i="7"/>
  <c r="L269" i="7" s="1"/>
  <c r="J270" i="7" l="1"/>
  <c r="L270" i="7" s="1"/>
  <c r="B273" i="7"/>
  <c r="F272" i="7"/>
  <c r="I271" i="7"/>
  <c r="H271" i="7"/>
  <c r="J271" i="7" s="1"/>
  <c r="G271" i="7"/>
  <c r="L271" i="7" l="1"/>
  <c r="H272" i="7"/>
  <c r="I272" i="7"/>
  <c r="G272" i="7"/>
  <c r="B274" i="7"/>
  <c r="F273" i="7"/>
  <c r="I273" i="7" l="1"/>
  <c r="G273" i="7"/>
  <c r="H273" i="7"/>
  <c r="B275" i="7"/>
  <c r="F274" i="7"/>
  <c r="J272" i="7"/>
  <c r="L272" i="7" s="1"/>
  <c r="J273" i="7" l="1"/>
  <c r="L273" i="7" s="1"/>
  <c r="I274" i="7"/>
  <c r="H274" i="7"/>
  <c r="G274" i="7"/>
  <c r="B276" i="7"/>
  <c r="F275" i="7"/>
  <c r="J274" i="7" l="1"/>
  <c r="L274" i="7" s="1"/>
  <c r="I275" i="7"/>
  <c r="H275" i="7"/>
  <c r="G275" i="7"/>
  <c r="B277" i="7"/>
  <c r="F276" i="7"/>
  <c r="J275" i="7" l="1"/>
  <c r="L275" i="7" s="1"/>
  <c r="H276" i="7"/>
  <c r="I276" i="7"/>
  <c r="G276" i="7"/>
  <c r="B278" i="7"/>
  <c r="F277" i="7"/>
  <c r="I277" i="7" l="1"/>
  <c r="H277" i="7"/>
  <c r="G277" i="7"/>
  <c r="B279" i="7"/>
  <c r="F278" i="7"/>
  <c r="J276" i="7"/>
  <c r="L276" i="7" s="1"/>
  <c r="I278" i="7" l="1"/>
  <c r="H278" i="7"/>
  <c r="G278" i="7"/>
  <c r="F279" i="7"/>
  <c r="B280" i="7"/>
  <c r="J277" i="7"/>
  <c r="L277" i="7" s="1"/>
  <c r="B281" i="7" l="1"/>
  <c r="F280" i="7"/>
  <c r="H279" i="7"/>
  <c r="I279" i="7"/>
  <c r="G279" i="7"/>
  <c r="J278" i="7"/>
  <c r="L278" i="7" s="1"/>
  <c r="J279" i="7" l="1"/>
  <c r="L279" i="7" s="1"/>
  <c r="B282" i="7"/>
  <c r="F281" i="7"/>
  <c r="I280" i="7"/>
  <c r="H280" i="7"/>
  <c r="G280" i="7"/>
  <c r="B283" i="7" l="1"/>
  <c r="F282" i="7"/>
  <c r="J280" i="7"/>
  <c r="L280" i="7" s="1"/>
  <c r="I281" i="7"/>
  <c r="H281" i="7"/>
  <c r="G281" i="7"/>
  <c r="J281" i="7" l="1"/>
  <c r="L281" i="7" s="1"/>
  <c r="H282" i="7"/>
  <c r="I282" i="7"/>
  <c r="G282" i="7"/>
  <c r="B284" i="7"/>
  <c r="F283" i="7"/>
  <c r="I283" i="7" l="1"/>
  <c r="H283" i="7"/>
  <c r="J283" i="7" s="1"/>
  <c r="L283" i="7" s="1"/>
  <c r="G283" i="7"/>
  <c r="B285" i="7"/>
  <c r="F284" i="7"/>
  <c r="J282" i="7"/>
  <c r="L282" i="7" s="1"/>
  <c r="I284" i="7" l="1"/>
  <c r="H284" i="7"/>
  <c r="G284" i="7"/>
  <c r="B286" i="7"/>
  <c r="F285" i="7"/>
  <c r="H285" i="7" l="1"/>
  <c r="G285" i="7"/>
  <c r="I285" i="7"/>
  <c r="B287" i="7"/>
  <c r="F286" i="7"/>
  <c r="J284" i="7"/>
  <c r="L284" i="7" s="1"/>
  <c r="H286" i="7" l="1"/>
  <c r="I286" i="7"/>
  <c r="G286" i="7"/>
  <c r="B288" i="7"/>
  <c r="F287" i="7"/>
  <c r="J285" i="7"/>
  <c r="L285" i="7" s="1"/>
  <c r="I287" i="7" l="1"/>
  <c r="H287" i="7"/>
  <c r="G287" i="7"/>
  <c r="B289" i="7"/>
  <c r="F288" i="7"/>
  <c r="J286" i="7"/>
  <c r="L286" i="7" s="1"/>
  <c r="H288" i="7" l="1"/>
  <c r="I288" i="7"/>
  <c r="G288" i="7"/>
  <c r="B290" i="7"/>
  <c r="F289" i="7"/>
  <c r="J287" i="7"/>
  <c r="L287" i="7" s="1"/>
  <c r="H289" i="7" l="1"/>
  <c r="I289" i="7"/>
  <c r="G289" i="7"/>
  <c r="B291" i="7"/>
  <c r="F290" i="7"/>
  <c r="J288" i="7"/>
  <c r="L288" i="7" s="1"/>
  <c r="J289" i="7" l="1"/>
  <c r="L289" i="7" s="1"/>
  <c r="B292" i="7"/>
  <c r="F291" i="7"/>
  <c r="I290" i="7"/>
  <c r="H290" i="7"/>
  <c r="G290" i="7"/>
  <c r="J290" i="7" l="1"/>
  <c r="L290" i="7" s="1"/>
  <c r="B293" i="7"/>
  <c r="F292" i="7"/>
  <c r="I291" i="7"/>
  <c r="H291" i="7"/>
  <c r="J291" i="7" s="1"/>
  <c r="G291" i="7"/>
  <c r="B294" i="7" l="1"/>
  <c r="F293" i="7"/>
  <c r="L291" i="7"/>
  <c r="I292" i="7"/>
  <c r="H292" i="7"/>
  <c r="G292" i="7"/>
  <c r="J292" i="7" l="1"/>
  <c r="L292" i="7" s="1"/>
  <c r="H293" i="7"/>
  <c r="I293" i="7"/>
  <c r="G293" i="7"/>
  <c r="B295" i="7"/>
  <c r="F294" i="7"/>
  <c r="I294" i="7" l="1"/>
  <c r="H294" i="7"/>
  <c r="J294" i="7" s="1"/>
  <c r="G294" i="7"/>
  <c r="B296" i="7"/>
  <c r="F295" i="7"/>
  <c r="J293" i="7"/>
  <c r="L293" i="7" s="1"/>
  <c r="B297" i="7" l="1"/>
  <c r="F296" i="7"/>
  <c r="I295" i="7"/>
  <c r="H295" i="7"/>
  <c r="G295" i="7"/>
  <c r="L294" i="7"/>
  <c r="J295" i="7" l="1"/>
  <c r="B298" i="7"/>
  <c r="F297" i="7"/>
  <c r="H296" i="7"/>
  <c r="I296" i="7"/>
  <c r="J296" i="7" s="1"/>
  <c r="G296" i="7"/>
  <c r="L295" i="7"/>
  <c r="L296" i="7" l="1"/>
  <c r="B299" i="7"/>
  <c r="F298" i="7"/>
  <c r="I297" i="7"/>
  <c r="G297" i="7"/>
  <c r="H297" i="7"/>
  <c r="J297" i="7" s="1"/>
  <c r="L297" i="7" s="1"/>
  <c r="I298" i="7" l="1"/>
  <c r="H298" i="7"/>
  <c r="J298" i="7" s="1"/>
  <c r="G298" i="7"/>
  <c r="B300" i="7"/>
  <c r="F299" i="7"/>
  <c r="L298" i="7" l="1"/>
  <c r="I299" i="7"/>
  <c r="H299" i="7"/>
  <c r="G299" i="7"/>
  <c r="B301" i="7"/>
  <c r="F300" i="7"/>
  <c r="J299" i="7" l="1"/>
  <c r="L299" i="7" s="1"/>
  <c r="H300" i="7"/>
  <c r="I300" i="7"/>
  <c r="J300" i="7" s="1"/>
  <c r="L300" i="7" s="1"/>
  <c r="G300" i="7"/>
  <c r="B302" i="7"/>
  <c r="F301" i="7"/>
  <c r="I301" i="7" l="1"/>
  <c r="H301" i="7"/>
  <c r="G301" i="7"/>
  <c r="B303" i="7"/>
  <c r="F302" i="7"/>
  <c r="J301" i="7" l="1"/>
  <c r="L301" i="7" s="1"/>
  <c r="I302" i="7"/>
  <c r="H302" i="7"/>
  <c r="J302" i="7" s="1"/>
  <c r="G302" i="7"/>
  <c r="B304" i="7"/>
  <c r="F303" i="7"/>
  <c r="I303" i="7" l="1"/>
  <c r="G303" i="7"/>
  <c r="H303" i="7"/>
  <c r="B305" i="7"/>
  <c r="F304" i="7"/>
  <c r="L302" i="7"/>
  <c r="B306" i="7" l="1"/>
  <c r="F305" i="7"/>
  <c r="I304" i="7"/>
  <c r="H304" i="7"/>
  <c r="G304" i="7"/>
  <c r="J303" i="7"/>
  <c r="L303" i="7" s="1"/>
  <c r="J304" i="7" l="1"/>
  <c r="L304" i="7" s="1"/>
  <c r="I305" i="7"/>
  <c r="H305" i="7"/>
  <c r="J305" i="7" s="1"/>
  <c r="L305" i="7" s="1"/>
  <c r="G305" i="7"/>
  <c r="B307" i="7"/>
  <c r="F306" i="7"/>
  <c r="I306" i="7" l="1"/>
  <c r="H306" i="7"/>
  <c r="G306" i="7"/>
  <c r="B308" i="7"/>
  <c r="F308" i="7" s="1"/>
  <c r="F307" i="7"/>
  <c r="H307" i="7" l="1"/>
  <c r="I307" i="7"/>
  <c r="G307" i="7"/>
  <c r="J306" i="7"/>
  <c r="L306" i="7" s="1"/>
  <c r="I308" i="7"/>
  <c r="H308" i="7"/>
  <c r="G308" i="7"/>
  <c r="J307" i="7" l="1"/>
  <c r="L307" i="7" s="1"/>
  <c r="J308" i="7"/>
  <c r="L308" i="7" s="1"/>
</calcChain>
</file>

<file path=xl/sharedStrings.xml><?xml version="1.0" encoding="utf-8"?>
<sst xmlns="http://schemas.openxmlformats.org/spreadsheetml/2006/main" count="14" uniqueCount="14">
  <si>
    <t>V</t>
  </si>
  <si>
    <t>optimal mu</t>
  </si>
  <si>
    <t>optimal price</t>
  </si>
  <si>
    <t>alpha</t>
  </si>
  <si>
    <t>beta_1</t>
  </si>
  <si>
    <t>beta_2</t>
  </si>
  <si>
    <t>q</t>
  </si>
  <si>
    <t>percent of utility from search</t>
  </si>
  <si>
    <t>total search utility</t>
  </si>
  <si>
    <t>utility from product value</t>
  </si>
  <si>
    <t>search utility (+)</t>
  </si>
  <si>
    <t>search cost (-)</t>
  </si>
  <si>
    <t>Paste below variable best_price for optimal price and best_mu for optimal mu</t>
  </si>
  <si>
    <t>Run code percent_best_mu_and_price.m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</si>
</sst>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54261232051873"/>
          <c:y val="8.7776640484439061E-2"/>
          <c:w val="0.66196838814265868"/>
          <c:h val="0.74880002758392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Profit_max!$B$8:$B$308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  <c:pt idx="251">
                  <c:v>25.100000000000087</c:v>
                </c:pt>
                <c:pt idx="252">
                  <c:v>25.200000000000088</c:v>
                </c:pt>
                <c:pt idx="253">
                  <c:v>25.30000000000009</c:v>
                </c:pt>
                <c:pt idx="254">
                  <c:v>25.400000000000091</c:v>
                </c:pt>
                <c:pt idx="255">
                  <c:v>25.500000000000092</c:v>
                </c:pt>
                <c:pt idx="256">
                  <c:v>25.600000000000094</c:v>
                </c:pt>
                <c:pt idx="257">
                  <c:v>25.700000000000095</c:v>
                </c:pt>
                <c:pt idx="258">
                  <c:v>25.800000000000097</c:v>
                </c:pt>
                <c:pt idx="259">
                  <c:v>25.900000000000098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26.200000000000102</c:v>
                </c:pt>
                <c:pt idx="263">
                  <c:v>26.300000000000104</c:v>
                </c:pt>
                <c:pt idx="264">
                  <c:v>26.400000000000105</c:v>
                </c:pt>
                <c:pt idx="265">
                  <c:v>26.500000000000107</c:v>
                </c:pt>
                <c:pt idx="266">
                  <c:v>26.600000000000108</c:v>
                </c:pt>
                <c:pt idx="267">
                  <c:v>26.700000000000109</c:v>
                </c:pt>
                <c:pt idx="268">
                  <c:v>26.800000000000111</c:v>
                </c:pt>
                <c:pt idx="269">
                  <c:v>26.900000000000112</c:v>
                </c:pt>
                <c:pt idx="270">
                  <c:v>27.000000000000114</c:v>
                </c:pt>
                <c:pt idx="271">
                  <c:v>27.100000000000115</c:v>
                </c:pt>
                <c:pt idx="272">
                  <c:v>27.200000000000117</c:v>
                </c:pt>
                <c:pt idx="273">
                  <c:v>27.300000000000118</c:v>
                </c:pt>
                <c:pt idx="274">
                  <c:v>27.400000000000119</c:v>
                </c:pt>
                <c:pt idx="275">
                  <c:v>27.500000000000121</c:v>
                </c:pt>
                <c:pt idx="276">
                  <c:v>27.600000000000122</c:v>
                </c:pt>
                <c:pt idx="277">
                  <c:v>27.700000000000124</c:v>
                </c:pt>
                <c:pt idx="278">
                  <c:v>27.800000000000125</c:v>
                </c:pt>
                <c:pt idx="279">
                  <c:v>27.900000000000126</c:v>
                </c:pt>
                <c:pt idx="280">
                  <c:v>28.000000000000128</c:v>
                </c:pt>
                <c:pt idx="281">
                  <c:v>28.100000000000129</c:v>
                </c:pt>
                <c:pt idx="282">
                  <c:v>28.200000000000131</c:v>
                </c:pt>
                <c:pt idx="283">
                  <c:v>28.300000000000132</c:v>
                </c:pt>
                <c:pt idx="284">
                  <c:v>28.400000000000134</c:v>
                </c:pt>
                <c:pt idx="285">
                  <c:v>28.500000000000135</c:v>
                </c:pt>
                <c:pt idx="286">
                  <c:v>28.600000000000136</c:v>
                </c:pt>
                <c:pt idx="287">
                  <c:v>28.700000000000138</c:v>
                </c:pt>
                <c:pt idx="288">
                  <c:v>28.800000000000139</c:v>
                </c:pt>
                <c:pt idx="289">
                  <c:v>28.900000000000141</c:v>
                </c:pt>
                <c:pt idx="290">
                  <c:v>29.000000000000142</c:v>
                </c:pt>
                <c:pt idx="291">
                  <c:v>29.100000000000144</c:v>
                </c:pt>
                <c:pt idx="292">
                  <c:v>29.200000000000145</c:v>
                </c:pt>
                <c:pt idx="293">
                  <c:v>29.300000000000146</c:v>
                </c:pt>
                <c:pt idx="294">
                  <c:v>29.400000000000148</c:v>
                </c:pt>
                <c:pt idx="295">
                  <c:v>29.500000000000149</c:v>
                </c:pt>
                <c:pt idx="296">
                  <c:v>29.600000000000151</c:v>
                </c:pt>
                <c:pt idx="297">
                  <c:v>29.700000000000152</c:v>
                </c:pt>
                <c:pt idx="298">
                  <c:v>29.800000000000153</c:v>
                </c:pt>
                <c:pt idx="299">
                  <c:v>29.900000000000155</c:v>
                </c:pt>
                <c:pt idx="300">
                  <c:v>30.000000000000156</c:v>
                </c:pt>
              </c:numCache>
            </c:numRef>
          </c:cat>
          <c:val>
            <c:numRef>
              <c:f>Profit_max!$L$8:$L$308</c:f>
              <c:numCache>
                <c:formatCode>0%</c:formatCode>
                <c:ptCount val="3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0.90727694079387444</c:v>
                </c:pt>
                <c:pt idx="4">
                  <c:v>0.815027582011291</c:v>
                </c:pt>
                <c:pt idx="5">
                  <c:v>0.73255216160736791</c:v>
                </c:pt>
                <c:pt idx="6">
                  <c:v>0.68104505872653864</c:v>
                </c:pt>
                <c:pt idx="7">
                  <c:v>0.64060457780301372</c:v>
                </c:pt>
                <c:pt idx="8">
                  <c:v>0.60278084632048112</c:v>
                </c:pt>
                <c:pt idx="9">
                  <c:v>0.57781947268701661</c:v>
                </c:pt>
                <c:pt idx="10">
                  <c:v>0.55731592214052728</c:v>
                </c:pt>
                <c:pt idx="11">
                  <c:v>0.54034671775584364</c:v>
                </c:pt>
                <c:pt idx="12">
                  <c:v>0.52366632662967549</c:v>
                </c:pt>
                <c:pt idx="13">
                  <c:v>0.51220449400066281</c:v>
                </c:pt>
                <c:pt idx="14">
                  <c:v>0.50249663580618742</c:v>
                </c:pt>
                <c:pt idx="15">
                  <c:v>0.49282951602865577</c:v>
                </c:pt>
                <c:pt idx="16">
                  <c:v>0.48602103874900338</c:v>
                </c:pt>
                <c:pt idx="17">
                  <c:v>0.47928719607110587</c:v>
                </c:pt>
                <c:pt idx="18">
                  <c:v>0.47453466168970909</c:v>
                </c:pt>
                <c:pt idx="19">
                  <c:v>0.47053680778230789</c:v>
                </c:pt>
                <c:pt idx="20">
                  <c:v>0.46662528589859975</c:v>
                </c:pt>
                <c:pt idx="21">
                  <c:v>0.46386544895368143</c:v>
                </c:pt>
                <c:pt idx="22">
                  <c:v>0.4611656717573237</c:v>
                </c:pt>
                <c:pt idx="23">
                  <c:v>0.45939029386862285</c:v>
                </c:pt>
                <c:pt idx="24">
                  <c:v>0.45775309315660861</c:v>
                </c:pt>
                <c:pt idx="25">
                  <c:v>0.45659469608539172</c:v>
                </c:pt>
                <c:pt idx="26">
                  <c:v>0.4557597460405084</c:v>
                </c:pt>
                <c:pt idx="27">
                  <c:v>0.45516900806638672</c:v>
                </c:pt>
                <c:pt idx="28">
                  <c:v>0.45490662854656921</c:v>
                </c:pt>
                <c:pt idx="29">
                  <c:v>0.45482858275971311</c:v>
                </c:pt>
                <c:pt idx="30">
                  <c:v>0.45489014214414142</c:v>
                </c:pt>
                <c:pt idx="31">
                  <c:v>0.45531957851222277</c:v>
                </c:pt>
                <c:pt idx="32">
                  <c:v>0.45578778766680017</c:v>
                </c:pt>
                <c:pt idx="33">
                  <c:v>0.45629864568971423</c:v>
                </c:pt>
                <c:pt idx="34">
                  <c:v>0.45711918069517538</c:v>
                </c:pt>
                <c:pt idx="35">
                  <c:v>0.45818150191316498</c:v>
                </c:pt>
                <c:pt idx="36">
                  <c:v>0.45911812813966879</c:v>
                </c:pt>
                <c:pt idx="37">
                  <c:v>0.46028370265581031</c:v>
                </c:pt>
                <c:pt idx="38">
                  <c:v>0.46148828311068402</c:v>
                </c:pt>
                <c:pt idx="39">
                  <c:v>0.46287137657789401</c:v>
                </c:pt>
                <c:pt idx="40">
                  <c:v>0.46410043504337439</c:v>
                </c:pt>
                <c:pt idx="41">
                  <c:v>0.46562365760509361</c:v>
                </c:pt>
                <c:pt idx="42">
                  <c:v>0.46712830947977046</c:v>
                </c:pt>
                <c:pt idx="43">
                  <c:v>0.46877104796633962</c:v>
                </c:pt>
                <c:pt idx="44">
                  <c:v>0.47012428692262559</c:v>
                </c:pt>
                <c:pt idx="45">
                  <c:v>0.47200527245648527</c:v>
                </c:pt>
                <c:pt idx="46">
                  <c:v>0.47364377741096325</c:v>
                </c:pt>
                <c:pt idx="47">
                  <c:v>0.47557700783076923</c:v>
                </c:pt>
                <c:pt idx="48">
                  <c:v>0.47742995791324067</c:v>
                </c:pt>
                <c:pt idx="49">
                  <c:v>0.47918829850634803</c:v>
                </c:pt>
                <c:pt idx="50">
                  <c:v>0.4810374330523442</c:v>
                </c:pt>
                <c:pt idx="51">
                  <c:v>0.48261230139977368</c:v>
                </c:pt>
                <c:pt idx="52">
                  <c:v>0.48462144480965125</c:v>
                </c:pt>
                <c:pt idx="53">
                  <c:v>0.48671574326619044</c:v>
                </c:pt>
                <c:pt idx="54">
                  <c:v>0.4886790861827397</c:v>
                </c:pt>
                <c:pt idx="55">
                  <c:v>0.49049830103086067</c:v>
                </c:pt>
                <c:pt idx="56">
                  <c:v>0.49260479277529556</c:v>
                </c:pt>
                <c:pt idx="57">
                  <c:v>0.49455685505960895</c:v>
                </c:pt>
                <c:pt idx="58">
                  <c:v>0.49657176099273043</c:v>
                </c:pt>
                <c:pt idx="59">
                  <c:v>0.49864859919343923</c:v>
                </c:pt>
                <c:pt idx="60">
                  <c:v>0.50078665409041168</c:v>
                </c:pt>
                <c:pt idx="61">
                  <c:v>0.50274279129991895</c:v>
                </c:pt>
                <c:pt idx="62">
                  <c:v>0.50475077814263747</c:v>
                </c:pt>
                <c:pt idx="63">
                  <c:v>0.50681000456693337</c:v>
                </c:pt>
                <c:pt idx="64">
                  <c:v>0.50892000046283281</c:v>
                </c:pt>
                <c:pt idx="65">
                  <c:v>0.51082192768499957</c:v>
                </c:pt>
                <c:pt idx="66">
                  <c:v>0.51302812764125183</c:v>
                </c:pt>
                <c:pt idx="67">
                  <c:v>0.51501745103817276</c:v>
                </c:pt>
                <c:pt idx="68">
                  <c:v>0.51704803913247921</c:v>
                </c:pt>
                <c:pt idx="69">
                  <c:v>0.51911962719407412</c:v>
                </c:pt>
                <c:pt idx="70">
                  <c:v>0.5212320411752227</c:v>
                </c:pt>
                <c:pt idx="71">
                  <c:v>0.52310225321270443</c:v>
                </c:pt>
                <c:pt idx="72">
                  <c:v>0.5252916480467632</c:v>
                </c:pt>
                <c:pt idx="73">
                  <c:v>0.52723044669841568</c:v>
                </c:pt>
                <c:pt idx="74">
                  <c:v>0.52920139738124161</c:v>
                </c:pt>
                <c:pt idx="75">
                  <c:v>0.531204368934583</c:v>
                </c:pt>
                <c:pt idx="76">
                  <c:v>0.53358154664416779</c:v>
                </c:pt>
                <c:pt idx="77">
                  <c:v>0.53565372429488767</c:v>
                </c:pt>
                <c:pt idx="78">
                  <c:v>0.53775788584961959</c:v>
                </c:pt>
                <c:pt idx="79">
                  <c:v>0.53957776490440668</c:v>
                </c:pt>
                <c:pt idx="80">
                  <c:v>0.54174165526696172</c:v>
                </c:pt>
                <c:pt idx="81">
                  <c:v>0.54361312052844535</c:v>
                </c:pt>
                <c:pt idx="82">
                  <c:v>0.54550846779768314</c:v>
                </c:pt>
                <c:pt idx="83">
                  <c:v>0.54742767284580429</c:v>
                </c:pt>
                <c:pt idx="84">
                  <c:v>0.54975306220404963</c:v>
                </c:pt>
                <c:pt idx="85">
                  <c:v>0.55172473103546449</c:v>
                </c:pt>
                <c:pt idx="86">
                  <c:v>0.55372042141465172</c:v>
                </c:pt>
                <c:pt idx="87">
                  <c:v>0.55539108487073885</c:v>
                </c:pt>
                <c:pt idx="88">
                  <c:v>0.55743076787939028</c:v>
                </c:pt>
                <c:pt idx="89">
                  <c:v>0.55954295902837703</c:v>
                </c:pt>
                <c:pt idx="90">
                  <c:v>0.56163181310195109</c:v>
                </c:pt>
                <c:pt idx="91">
                  <c:v>0.56337919424223082</c:v>
                </c:pt>
                <c:pt idx="92">
                  <c:v>0.56514307468355052</c:v>
                </c:pt>
                <c:pt idx="93">
                  <c:v>0.56729711753940903</c:v>
                </c:pt>
                <c:pt idx="94">
                  <c:v>0.56914743477824647</c:v>
                </c:pt>
                <c:pt idx="95">
                  <c:v>0.57096507133937346</c:v>
                </c:pt>
                <c:pt idx="96">
                  <c:v>0.57279942880954171</c:v>
                </c:pt>
                <c:pt idx="97">
                  <c:v>0.57465060064479268</c:v>
                </c:pt>
                <c:pt idx="98">
                  <c:v>0.5769633372339853</c:v>
                </c:pt>
                <c:pt idx="99">
                  <c:v>0.57885275364135458</c:v>
                </c:pt>
                <c:pt idx="100">
                  <c:v>0.5803563870809092</c:v>
                </c:pt>
                <c:pt idx="101">
                  <c:v>0.58227606239638696</c:v>
                </c:pt>
                <c:pt idx="102">
                  <c:v>0.58426345599094331</c:v>
                </c:pt>
                <c:pt idx="103">
                  <c:v>0.58621824633797714</c:v>
                </c:pt>
                <c:pt idx="104">
                  <c:v>0.58777130217697049</c:v>
                </c:pt>
                <c:pt idx="105">
                  <c:v>0.58933440284050964</c:v>
                </c:pt>
                <c:pt idx="106">
                  <c:v>0.5913839926878246</c:v>
                </c:pt>
                <c:pt idx="107">
                  <c:v>0.59340167166558311</c:v>
                </c:pt>
                <c:pt idx="108">
                  <c:v>0.59500198713008801</c:v>
                </c:pt>
                <c:pt idx="109">
                  <c:v>0.59661256995593559</c:v>
                </c:pt>
                <c:pt idx="110">
                  <c:v>0.59872634945865477</c:v>
                </c:pt>
                <c:pt idx="111">
                  <c:v>0.60036122711776252</c:v>
                </c:pt>
                <c:pt idx="112">
                  <c:v>0.6020066074466871</c:v>
                </c:pt>
                <c:pt idx="113">
                  <c:v>0.6037119423743591</c:v>
                </c:pt>
                <c:pt idx="114">
                  <c:v>0.60537842726916447</c:v>
                </c:pt>
                <c:pt idx="115">
                  <c:v>0.60705566724880755</c:v>
                </c:pt>
                <c:pt idx="116">
                  <c:v>0.6087926818919831</c:v>
                </c:pt>
                <c:pt idx="117">
                  <c:v>0.61049155471906869</c:v>
                </c:pt>
                <c:pt idx="118">
                  <c:v>0.61220150442758325</c:v>
                </c:pt>
                <c:pt idx="119">
                  <c:v>0.61397098218555957</c:v>
                </c:pt>
                <c:pt idx="120">
                  <c:v>0.61570323449279751</c:v>
                </c:pt>
                <c:pt idx="121">
                  <c:v>0.61749482905320019</c:v>
                </c:pt>
                <c:pt idx="122">
                  <c:v>0.61875909466555301</c:v>
                </c:pt>
                <c:pt idx="123">
                  <c:v>0.62052144241105656</c:v>
                </c:pt>
                <c:pt idx="124">
                  <c:v>0.62234289107914553</c:v>
                </c:pt>
                <c:pt idx="125">
                  <c:v>0.62362637529854004</c:v>
                </c:pt>
                <c:pt idx="126">
                  <c:v>0.6254197790931928</c:v>
                </c:pt>
                <c:pt idx="127">
                  <c:v>0.62727200352811174</c:v>
                </c:pt>
                <c:pt idx="128">
                  <c:v>0.62857523424180195</c:v>
                </c:pt>
                <c:pt idx="129">
                  <c:v>0.62988329343525962</c:v>
                </c:pt>
                <c:pt idx="130">
                  <c:v>0.63176259721319905</c:v>
                </c:pt>
                <c:pt idx="131">
                  <c:v>0.63308321098236187</c:v>
                </c:pt>
                <c:pt idx="132">
                  <c:v>0.63498254488190453</c:v>
                </c:pt>
                <c:pt idx="133">
                  <c:v>0.6363159794488803</c:v>
                </c:pt>
                <c:pt idx="134">
                  <c:v>0.63765446309466112</c:v>
                </c:pt>
                <c:pt idx="135">
                  <c:v>0.63958238581005311</c:v>
                </c:pt>
                <c:pt idx="136">
                  <c:v>0.64093410722090849</c:v>
                </c:pt>
                <c:pt idx="137">
                  <c:v>0.64229104244643087</c:v>
                </c:pt>
                <c:pt idx="138">
                  <c:v>0.64369724836552211</c:v>
                </c:pt>
                <c:pt idx="139">
                  <c:v>0.64506452953436355</c:v>
                </c:pt>
                <c:pt idx="140">
                  <c:v>0.64703869950017279</c:v>
                </c:pt>
                <c:pt idx="141">
                  <c:v>0.64841998085393093</c:v>
                </c:pt>
                <c:pt idx="142">
                  <c:v>0.64984969475092369</c:v>
                </c:pt>
                <c:pt idx="143">
                  <c:v>0.65124182171672906</c:v>
                </c:pt>
                <c:pt idx="144">
                  <c:v>0.6526395881575856</c:v>
                </c:pt>
                <c:pt idx="145">
                  <c:v>0.6540852215837184</c:v>
                </c:pt>
                <c:pt idx="146">
                  <c:v>0.65549420491658916</c:v>
                </c:pt>
                <c:pt idx="147">
                  <c:v>0.65695067097655324</c:v>
                </c:pt>
                <c:pt idx="148">
                  <c:v>0.65837114075287062</c:v>
                </c:pt>
                <c:pt idx="149">
                  <c:v>0.65983870193848337</c:v>
                </c:pt>
                <c:pt idx="150">
                  <c:v>0.66127094758313232</c:v>
                </c:pt>
                <c:pt idx="151">
                  <c:v>0.66211147475200172</c:v>
                </c:pt>
                <c:pt idx="152">
                  <c:v>0.66359254673925272</c:v>
                </c:pt>
                <c:pt idx="153">
                  <c:v>0.66503915496089694</c:v>
                </c:pt>
                <c:pt idx="154">
                  <c:v>0.66653196929089842</c:v>
                </c:pt>
                <c:pt idx="155">
                  <c:v>0.66799105943695336</c:v>
                </c:pt>
                <c:pt idx="156">
                  <c:v>0.66884134457321753</c:v>
                </c:pt>
                <c:pt idx="157">
                  <c:v>0.67034850030318305</c:v>
                </c:pt>
                <c:pt idx="158">
                  <c:v>0.67186171202986911</c:v>
                </c:pt>
                <c:pt idx="159">
                  <c:v>0.67271739918179796</c:v>
                </c:pt>
                <c:pt idx="160">
                  <c:v>0.67420069313680675</c:v>
                </c:pt>
                <c:pt idx="161">
                  <c:v>0.67572898440388951</c:v>
                </c:pt>
                <c:pt idx="162">
                  <c:v>0.67659041895929362</c:v>
                </c:pt>
                <c:pt idx="163">
                  <c:v>0.67812753826661032</c:v>
                </c:pt>
                <c:pt idx="164">
                  <c:v>0.6796711763002603</c:v>
                </c:pt>
                <c:pt idx="165">
                  <c:v>0.68053846032211962</c:v>
                </c:pt>
                <c:pt idx="166">
                  <c:v>0.68209128104977335</c:v>
                </c:pt>
                <c:pt idx="167">
                  <c:v>0.68296205124977127</c:v>
                </c:pt>
                <c:pt idx="168">
                  <c:v>0.6844878648635121</c:v>
                </c:pt>
                <c:pt idx="169">
                  <c:v>0.68539863036784798</c:v>
                </c:pt>
                <c:pt idx="170">
                  <c:v>0.68693456051836188</c:v>
                </c:pt>
                <c:pt idx="171">
                  <c:v>0.68784853530025636</c:v>
                </c:pt>
                <c:pt idx="172">
                  <c:v>0.68939483383330247</c:v>
                </c:pt>
                <c:pt idx="173">
                  <c:v>0.69031212174393841</c:v>
                </c:pt>
                <c:pt idx="174">
                  <c:v>0.69190401663654288</c:v>
                </c:pt>
                <c:pt idx="175">
                  <c:v>0.69278976333005649</c:v>
                </c:pt>
                <c:pt idx="176">
                  <c:v>0.6936765719323077</c:v>
                </c:pt>
                <c:pt idx="177">
                  <c:v>0.69528185157282696</c:v>
                </c:pt>
                <c:pt idx="178">
                  <c:v>0.69617273573723382</c:v>
                </c:pt>
                <c:pt idx="179">
                  <c:v>0.69706473288089543</c:v>
                </c:pt>
                <c:pt idx="180">
                  <c:v>0.69868388836824202</c:v>
                </c:pt>
                <c:pt idx="181">
                  <c:v>0.69961361302508673</c:v>
                </c:pt>
                <c:pt idx="182">
                  <c:v>0.70051086228258186</c:v>
                </c:pt>
                <c:pt idx="183">
                  <c:v>0.7021440723636172</c:v>
                </c:pt>
                <c:pt idx="184">
                  <c:v>0.70304575893536847</c:v>
                </c:pt>
                <c:pt idx="185">
                  <c:v>0.70398130286400107</c:v>
                </c:pt>
                <c:pt idx="186">
                  <c:v>0.70488529103956765</c:v>
                </c:pt>
                <c:pt idx="187">
                  <c:v>0.70653649190082402</c:v>
                </c:pt>
                <c:pt idx="188">
                  <c:v>0.70744516689493842</c:v>
                </c:pt>
                <c:pt idx="189">
                  <c:v>0.70838691943172594</c:v>
                </c:pt>
                <c:pt idx="190">
                  <c:v>0.70929805713737237</c:v>
                </c:pt>
                <c:pt idx="191">
                  <c:v>0.71096815009615022</c:v>
                </c:pt>
                <c:pt idx="192">
                  <c:v>0.71191531581047762</c:v>
                </c:pt>
                <c:pt idx="193">
                  <c:v>0.71283263323082158</c:v>
                </c:pt>
                <c:pt idx="194">
                  <c:v>0.71375136694078944</c:v>
                </c:pt>
                <c:pt idx="195">
                  <c:v>0.71470207902276628</c:v>
                </c:pt>
                <c:pt idx="196">
                  <c:v>0.71562352468269153</c:v>
                </c:pt>
                <c:pt idx="197">
                  <c:v>0.71657663168481711</c:v>
                </c:pt>
                <c:pt idx="198">
                  <c:v>0.71827743489100315</c:v>
                </c:pt>
                <c:pt idx="199">
                  <c:v>0.71923526164773632</c:v>
                </c:pt>
                <c:pt idx="200">
                  <c:v>0.72016480573135333</c:v>
                </c:pt>
                <c:pt idx="201">
                  <c:v>0.72109592475090079</c:v>
                </c:pt>
                <c:pt idx="202">
                  <c:v>0.72205776139456201</c:v>
                </c:pt>
                <c:pt idx="203">
                  <c:v>0.72299191480098024</c:v>
                </c:pt>
                <c:pt idx="204">
                  <c:v>0.72395646870771324</c:v>
                </c:pt>
                <c:pt idx="205">
                  <c:v>0.72489374273344809</c:v>
                </c:pt>
                <c:pt idx="206">
                  <c:v>0.72586110028931283</c:v>
                </c:pt>
                <c:pt idx="207">
                  <c:v>0.72680158394935601</c:v>
                </c:pt>
                <c:pt idx="208">
                  <c:v>0.7277718344802262</c:v>
                </c:pt>
                <c:pt idx="209">
                  <c:v>0.72874347473257484</c:v>
                </c:pt>
                <c:pt idx="210">
                  <c:v>0.72968885529708083</c:v>
                </c:pt>
                <c:pt idx="211">
                  <c:v>0.73066352774859222</c:v>
                </c:pt>
                <c:pt idx="212">
                  <c:v>0.7316123524068493</c:v>
                </c:pt>
                <c:pt idx="213">
                  <c:v>0.73259015366302538</c:v>
                </c:pt>
                <c:pt idx="214">
                  <c:v>0.7335425211214448</c:v>
                </c:pt>
                <c:pt idx="215">
                  <c:v>0.73452355066876318</c:v>
                </c:pt>
                <c:pt idx="216">
                  <c:v>0.73550614077507781</c:v>
                </c:pt>
                <c:pt idx="217">
                  <c:v>0.73646392262461835</c:v>
                </c:pt>
                <c:pt idx="218">
                  <c:v>0.73744989556294249</c:v>
                </c:pt>
                <c:pt idx="219">
                  <c:v>0.73760713192268734</c:v>
                </c:pt>
                <c:pt idx="220">
                  <c:v>0.73856762310536717</c:v>
                </c:pt>
                <c:pt idx="221">
                  <c:v>0.73955598134610112</c:v>
                </c:pt>
                <c:pt idx="222">
                  <c:v>0.74054603289542364</c:v>
                </c:pt>
                <c:pt idx="223">
                  <c:v>0.7415123388516407</c:v>
                </c:pt>
                <c:pt idx="224">
                  <c:v>0.74250604506093354</c:v>
                </c:pt>
                <c:pt idx="225">
                  <c:v>0.74350152918098611</c:v>
                </c:pt>
                <c:pt idx="226">
                  <c:v>0.74449882016854707</c:v>
                </c:pt>
                <c:pt idx="227">
                  <c:v>0.74462336873626744</c:v>
                </c:pt>
                <c:pt idx="228">
                  <c:v>0.74562157453718292</c:v>
                </c:pt>
                <c:pt idx="229">
                  <c:v>0.74662164632746253</c:v>
                </c:pt>
                <c:pt idx="230">
                  <c:v>0.74759926161969747</c:v>
                </c:pt>
                <c:pt idx="231">
                  <c:v>0.74860334053287891</c:v>
                </c:pt>
                <c:pt idx="232">
                  <c:v>0.74874831816286258</c:v>
                </c:pt>
                <c:pt idx="233">
                  <c:v>0.74975324991814485</c:v>
                </c:pt>
                <c:pt idx="234">
                  <c:v>0.75073638180794988</c:v>
                </c:pt>
                <c:pt idx="235">
                  <c:v>0.75174550800974749</c:v>
                </c:pt>
                <c:pt idx="236">
                  <c:v>0.7527566875140439</c:v>
                </c:pt>
                <c:pt idx="237">
                  <c:v>0.75289718113351478</c:v>
                </c:pt>
                <c:pt idx="238">
                  <c:v>0.75390934374461249</c:v>
                </c:pt>
                <c:pt idx="239">
                  <c:v>0.75492362577121219</c:v>
                </c:pt>
                <c:pt idx="240">
                  <c:v>0.75594006071814679</c:v>
                </c:pt>
                <c:pt idx="241">
                  <c:v>0.75605432070383971</c:v>
                </c:pt>
                <c:pt idx="242">
                  <c:v>0.75707202550870611</c:v>
                </c:pt>
                <c:pt idx="243">
                  <c:v>0.75809195196342893</c:v>
                </c:pt>
                <c:pt idx="244">
                  <c:v>0.75911413488985013</c:v>
                </c:pt>
                <c:pt idx="245">
                  <c:v>0.75922558839464171</c:v>
                </c:pt>
                <c:pt idx="246">
                  <c:v>0.76024914838566693</c:v>
                </c:pt>
                <c:pt idx="247">
                  <c:v>0.76127503631114979</c:v>
                </c:pt>
                <c:pt idx="248">
                  <c:v>0.76140650981621516</c:v>
                </c:pt>
                <c:pt idx="249">
                  <c:v>0.76243366689486403</c:v>
                </c:pt>
                <c:pt idx="250">
                  <c:v>0.76346322534824929</c:v>
                </c:pt>
                <c:pt idx="251">
                  <c:v>0.76449522230345746</c:v>
                </c:pt>
                <c:pt idx="252">
                  <c:v>0.76462333063849042</c:v>
                </c:pt>
                <c:pt idx="253">
                  <c:v>0.76565671235546451</c:v>
                </c:pt>
                <c:pt idx="254">
                  <c:v>0.76669260889777369</c:v>
                </c:pt>
                <c:pt idx="255">
                  <c:v>0.76679748456661567</c:v>
                </c:pt>
                <c:pt idx="256">
                  <c:v>0.76785581440682671</c:v>
                </c:pt>
                <c:pt idx="257">
                  <c:v>0.76795971291990539</c:v>
                </c:pt>
                <c:pt idx="258">
                  <c:v>0.76899876312961368</c:v>
                </c:pt>
                <c:pt idx="259">
                  <c:v>0.77004044659731929</c:v>
                </c:pt>
                <c:pt idx="260">
                  <c:v>0.7701628772771022</c:v>
                </c:pt>
                <c:pt idx="261">
                  <c:v>0.7712061516724017</c:v>
                </c:pt>
                <c:pt idx="262">
                  <c:v>0.77225214070119019</c:v>
                </c:pt>
                <c:pt idx="263">
                  <c:v>0.7723723242035615</c:v>
                </c:pt>
                <c:pt idx="264">
                  <c:v>0.77341999005090312</c:v>
                </c:pt>
                <c:pt idx="265">
                  <c:v>0.77447045402665637</c:v>
                </c:pt>
                <c:pt idx="266">
                  <c:v>0.77458839831993576</c:v>
                </c:pt>
                <c:pt idx="267">
                  <c:v>0.77564062719804749</c:v>
                </c:pt>
                <c:pt idx="268">
                  <c:v>0.7757574131937881</c:v>
                </c:pt>
                <c:pt idx="269">
                  <c:v>0.77681145333057178</c:v>
                </c:pt>
                <c:pt idx="270">
                  <c:v>0.77788752034486641</c:v>
                </c:pt>
                <c:pt idx="271">
                  <c:v>0.77798298152727763</c:v>
                </c:pt>
                <c:pt idx="272">
                  <c:v>0.77904185217356448</c:v>
                </c:pt>
                <c:pt idx="273">
                  <c:v>0.77915526169209537</c:v>
                </c:pt>
                <c:pt idx="274">
                  <c:v>0.78021608317625613</c:v>
                </c:pt>
                <c:pt idx="275">
                  <c:v>0.78032834451158328</c:v>
                </c:pt>
                <c:pt idx="276">
                  <c:v>0.78139116553886279</c:v>
                </c:pt>
                <c:pt idx="277">
                  <c:v>0.78247544366728738</c:v>
                </c:pt>
                <c:pt idx="278">
                  <c:v>0.78256715131622046</c:v>
                </c:pt>
                <c:pt idx="279">
                  <c:v>0.78365333525138392</c:v>
                </c:pt>
                <c:pt idx="280">
                  <c:v>0.7837440933199008</c:v>
                </c:pt>
                <c:pt idx="281">
                  <c:v>0.78483223407719527</c:v>
                </c:pt>
                <c:pt idx="282">
                  <c:v>0.78492204510824681</c:v>
                </c:pt>
                <c:pt idx="283">
                  <c:v>0.78601219434373926</c:v>
                </c:pt>
                <c:pt idx="284">
                  <c:v>0.78610106097848531</c:v>
                </c:pt>
                <c:pt idx="285">
                  <c:v>0.78719327099326242</c:v>
                </c:pt>
                <c:pt idx="286">
                  <c:v>0.78728119596082047</c:v>
                </c:pt>
                <c:pt idx="287">
                  <c:v>0.78837551970657693</c:v>
                </c:pt>
                <c:pt idx="288">
                  <c:v>0.78847989628932058</c:v>
                </c:pt>
                <c:pt idx="289">
                  <c:v>0.78955899690024001</c:v>
                </c:pt>
                <c:pt idx="290">
                  <c:v>0.78966225034592952</c:v>
                </c:pt>
                <c:pt idx="291">
                  <c:v>0.79074375972549948</c:v>
                </c:pt>
                <c:pt idx="292">
                  <c:v>0.79084589356678647</c:v>
                </c:pt>
                <c:pt idx="293">
                  <c:v>0.79194670784124543</c:v>
                </c:pt>
                <c:pt idx="294">
                  <c:v>0.79203088390169585</c:v>
                </c:pt>
                <c:pt idx="295">
                  <c:v>0.7931340308825291</c:v>
                </c:pt>
                <c:pt idx="296">
                  <c:v>0.79321728002925307</c:v>
                </c:pt>
                <c:pt idx="297">
                  <c:v>0.79432281604276156</c:v>
                </c:pt>
                <c:pt idx="298">
                  <c:v>0.79442159993229189</c:v>
                </c:pt>
                <c:pt idx="299">
                  <c:v>0.79552940861224475</c:v>
                </c:pt>
                <c:pt idx="300">
                  <c:v>0.7956108025526506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0BF-A603-AD5B16F12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910616"/>
        <c:axId val="517910976"/>
      </c:lineChart>
      <c:catAx>
        <c:axId val="51791061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976"/>
        <c:crosses val="autoZero"/>
        <c:auto val="1"/>
        <c:lblAlgn val="ctr"/>
        <c:lblOffset val="100"/>
        <c:tickLblSkip val="50"/>
        <c:noMultiLvlLbl val="0"/>
      </c:catAx>
      <c:valAx>
        <c:axId val="517910976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616"/>
        <c:crossesAt val="0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69786B-A8C5-48C6-BB60-78F120392B9F}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6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495C8-99A9-1440-AAF2-95CFCCB147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0.47794</cdr:x>
      <cdr:y>0.92463</cdr:y>
    </cdr:from>
    <cdr:to>
      <cdr:x>0.81176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7541FE-76EC-2ACC-C73D-33E248DF5EBB}"/>
            </a:ext>
          </a:extLst>
        </cdr:cNvPr>
        <cdr:cNvSpPr txBox="1"/>
      </cdr:nvSpPr>
      <cdr:spPr>
        <a:xfrm xmlns:a="http://schemas.openxmlformats.org/drawingml/2006/main">
          <a:off x="4127500" y="5789201"/>
          <a:ext cx="2882900" cy="471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/>
            <a:t>Product Value (</a:t>
          </a:r>
          <a:r>
            <a:rPr lang="en-US" sz="2000" i="1">
              <a:latin typeface="Courier New" panose="02070309020205020404" pitchFamily="49" charset="0"/>
              <a:cs typeface="Courier New" panose="02070309020205020404" pitchFamily="49" charset="0"/>
            </a:rPr>
            <a:t>V</a:t>
          </a:r>
          <a:r>
            <a:rPr lang="en-US" sz="800" i="1"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  <a:r>
            <a:rPr lang="en-US" sz="2000"/>
            <a:t>)</a:t>
          </a:r>
        </a:p>
      </cdr:txBody>
    </cdr:sp>
  </cdr:relSizeAnchor>
  <cdr:relSizeAnchor xmlns:cdr="http://schemas.openxmlformats.org/drawingml/2006/chartDrawing">
    <cdr:from>
      <cdr:x>0</cdr:x>
      <cdr:y>0.35091</cdr:y>
    </cdr:from>
    <cdr:to>
      <cdr:x>0.16275</cdr:x>
      <cdr:y>0.67966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2D621C6-40BF-8BCB-FD10-ED5FF1B85DE1}"/>
            </a:ext>
          </a:extLst>
        </cdr:cNvPr>
        <cdr:cNvSpPr txBox="1"/>
      </cdr:nvSpPr>
      <cdr:spPr>
        <a:xfrm xmlns:a="http://schemas.openxmlformats.org/drawingml/2006/main">
          <a:off x="0" y="2197099"/>
          <a:ext cx="1405467" cy="20583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/>
            <a:t>Percentage</a:t>
          </a:r>
        </a:p>
        <a:p xmlns:a="http://schemas.openxmlformats.org/drawingml/2006/main">
          <a:pPr algn="ctr"/>
          <a:r>
            <a:rPr lang="en-US" sz="2000"/>
            <a:t>of Utility (</a:t>
          </a:r>
          <a:r>
            <a:rPr lang="en-US" sz="2000" i="1"/>
            <a:t>U</a:t>
          </a:r>
          <a:r>
            <a:rPr lang="en-US" sz="2000"/>
            <a:t>)</a:t>
          </a:r>
          <a:endParaRPr lang="en-US" sz="2000" i="1"/>
        </a:p>
        <a:p xmlns:a="http://schemas.openxmlformats.org/drawingml/2006/main">
          <a:pPr algn="ctr"/>
          <a:r>
            <a:rPr lang="en-US" sz="2000"/>
            <a:t>that Comes</a:t>
          </a:r>
        </a:p>
        <a:p xmlns:a="http://schemas.openxmlformats.org/drawingml/2006/main">
          <a:pPr algn="ctr"/>
          <a:r>
            <a:rPr lang="en-US" sz="2000"/>
            <a:t>from</a:t>
          </a:r>
          <a:r>
            <a:rPr lang="en-US" sz="2000" baseline="0"/>
            <a:t> Search</a:t>
          </a:r>
          <a:endParaRPr lang="en-US" sz="2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4DB8-00ED-46A0-B696-3EFEA61A0F5C}">
  <dimension ref="B1:L308"/>
  <sheetViews>
    <sheetView tabSelected="1" workbookViewId="0"/>
  </sheetViews>
  <sheetFormatPr defaultRowHeight="14.75" x14ac:dyDescent="0.75"/>
  <cols>
    <col min="7" max="7" width="24.6328125" customWidth="1"/>
    <col min="8" max="8" width="14.7265625" customWidth="1"/>
    <col min="9" max="9" width="13.6328125" customWidth="1"/>
    <col min="10" max="10" width="17.08984375" customWidth="1"/>
    <col min="12" max="12" width="24.5" bestFit="1" customWidth="1"/>
  </cols>
  <sheetData>
    <row r="1" spans="2:12" x14ac:dyDescent="0.75">
      <c r="B1" s="4" t="s">
        <v>13</v>
      </c>
      <c r="I1" t="s">
        <v>3</v>
      </c>
      <c r="J1">
        <v>1</v>
      </c>
    </row>
    <row r="2" spans="2:12" x14ac:dyDescent="0.75">
      <c r="B2" s="4" t="s">
        <v>12</v>
      </c>
      <c r="I2" t="s">
        <v>4</v>
      </c>
      <c r="J2">
        <v>0.05</v>
      </c>
    </row>
    <row r="3" spans="2:12" x14ac:dyDescent="0.75">
      <c r="I3" t="s">
        <v>5</v>
      </c>
      <c r="J3">
        <v>0.75</v>
      </c>
    </row>
    <row r="7" spans="2:12" x14ac:dyDescent="0.75">
      <c r="B7" s="2" t="s">
        <v>0</v>
      </c>
      <c r="C7" s="2" t="s">
        <v>2</v>
      </c>
      <c r="D7" t="s">
        <v>1</v>
      </c>
      <c r="F7" t="s">
        <v>6</v>
      </c>
      <c r="G7" s="2" t="s">
        <v>9</v>
      </c>
      <c r="H7" t="s">
        <v>10</v>
      </c>
      <c r="I7" t="s">
        <v>11</v>
      </c>
      <c r="J7" s="2" t="s">
        <v>8</v>
      </c>
      <c r="L7" t="s">
        <v>7</v>
      </c>
    </row>
    <row r="8" spans="2:12" x14ac:dyDescent="0.75">
      <c r="B8">
        <v>0</v>
      </c>
      <c r="C8">
        <v>0</v>
      </c>
      <c r="D8" s="1">
        <v>1.8080000000000001</v>
      </c>
      <c r="F8">
        <f>1-EXP(-D8*($J$1+$J$2*D8+$J$3*(B8-C8)+D8*(B8-C8)))</f>
        <v>0.86074426275748006</v>
      </c>
      <c r="G8">
        <f>F8*(B8-C8)</f>
        <v>0</v>
      </c>
      <c r="H8">
        <f>F8*(($J$1/D8)+$J$2+($J$3*(B8-C8))/D8)</f>
        <v>0.51911257970727676</v>
      </c>
      <c r="I8">
        <f>-F8*(1/(D8^2)) + (1/D8)*($J$1+$J$2*D8+$J$3*(B8-C8)+D8*(B8-C8))*(1-F8)</f>
        <v>-0.17933125590716753</v>
      </c>
      <c r="J8">
        <f>H8+I8</f>
        <v>0.33978132380010923</v>
      </c>
      <c r="L8" s="3">
        <f>J8/(G8+J8)</f>
        <v>1</v>
      </c>
    </row>
    <row r="9" spans="2:12" x14ac:dyDescent="0.75">
      <c r="B9">
        <f>B8+0.1</f>
        <v>0.1</v>
      </c>
      <c r="C9">
        <v>0.1</v>
      </c>
      <c r="D9" s="1">
        <v>1.8080000000000001</v>
      </c>
      <c r="F9">
        <f>1-EXP(-D9*($J$1+$J$2*D9+$J$3*(B9-C9)+D9*(B9-C9)))</f>
        <v>0.86074426275748006</v>
      </c>
      <c r="G9">
        <f t="shared" ref="G9:G72" si="0">F9*(B9-C9)</f>
        <v>0</v>
      </c>
      <c r="H9">
        <f>F9*(($J$1/D9)+$J$2+($J$3*(B9-C9))/D9)</f>
        <v>0.51911257970727676</v>
      </c>
      <c r="I9">
        <f>-F9*(1/(D9^2)) + (1/D9)*($J$1+$J$2*D9+$J$3*(B9-C9)+D9*(B9-C9))*(1-F9)</f>
        <v>-0.17933125590716753</v>
      </c>
      <c r="J9">
        <f t="shared" ref="J9:J72" si="1">H9+I9</f>
        <v>0.33978132380010923</v>
      </c>
      <c r="L9" s="3">
        <f t="shared" ref="L9:L72" si="2">J9/(G9+J9)</f>
        <v>1</v>
      </c>
    </row>
    <row r="10" spans="2:12" x14ac:dyDescent="0.75">
      <c r="B10">
        <f t="shared" ref="B10:B73" si="3">B9+0.1</f>
        <v>0.2</v>
      </c>
      <c r="C10">
        <v>0.2</v>
      </c>
      <c r="D10" s="1">
        <v>1.8080000000000001</v>
      </c>
      <c r="F10">
        <f>1-EXP(-D10*($J$1+$J$2*D10+$J$3*(B10-C10)+D10*(B10-C10)))</f>
        <v>0.86074426275748006</v>
      </c>
      <c r="G10">
        <f t="shared" si="0"/>
        <v>0</v>
      </c>
      <c r="H10">
        <f>F10*(($J$1/D10)+$J$2+($J$3*(B10-C10))/D10)</f>
        <v>0.51911257970727676</v>
      </c>
      <c r="I10">
        <f>-F10*(1/(D10^2)) + (1/D10)*($J$1+$J$2*D10+$J$3*(B10-C10)+D10*(B10-C10))*(1-F10)</f>
        <v>-0.17933125590716753</v>
      </c>
      <c r="J10">
        <f t="shared" si="1"/>
        <v>0.33978132380010923</v>
      </c>
      <c r="L10" s="3">
        <f t="shared" si="2"/>
        <v>1</v>
      </c>
    </row>
    <row r="11" spans="2:12" x14ac:dyDescent="0.75">
      <c r="B11">
        <f t="shared" si="3"/>
        <v>0.30000000000000004</v>
      </c>
      <c r="C11">
        <v>0.26</v>
      </c>
      <c r="D11" s="1">
        <v>1.8680000000000001</v>
      </c>
      <c r="F11">
        <f>1-EXP(-D11*($J$1+$J$2*D11+$J$3*(B11-C11)+D11*(B11-C11)))</f>
        <v>0.89333776930973341</v>
      </c>
      <c r="G11">
        <f t="shared" si="0"/>
        <v>3.5733510772389371E-2</v>
      </c>
      <c r="H11">
        <f>F11*(($J$1/D11)+$J$2+($J$3*(B11-C11))/D11)</f>
        <v>0.53724606533327324</v>
      </c>
      <c r="I11">
        <f>-F11*(1/(D11^2)) + (1/D11)*($J$1+$J$2*D11+$J$3*(B11-C11)+D11*(B11-C11))*(1-F11)</f>
        <v>-0.18760067383117071</v>
      </c>
      <c r="J11">
        <f t="shared" si="1"/>
        <v>0.3496453915021025</v>
      </c>
      <c r="L11" s="3">
        <f t="shared" si="2"/>
        <v>0.90727694079387444</v>
      </c>
    </row>
    <row r="12" spans="2:12" x14ac:dyDescent="0.75">
      <c r="B12">
        <f t="shared" si="3"/>
        <v>0.4</v>
      </c>
      <c r="C12">
        <v>0.31</v>
      </c>
      <c r="D12" s="1">
        <v>1.891</v>
      </c>
      <c r="F12">
        <f>1-EXP(-D12*($J$1+$J$2*D12+$J$3*(B12-C12)+D12*(B12-C12)))</f>
        <v>0.91948130133677086</v>
      </c>
      <c r="G12">
        <f t="shared" si="0"/>
        <v>8.2753317120309394E-2</v>
      </c>
      <c r="H12">
        <f>F12*(($J$1/D12)+$J$2+($J$3*(B12-C12))/D12)</f>
        <v>0.56503609001501576</v>
      </c>
      <c r="I12">
        <f>-F12*(1/(D12^2)) + (1/D12)*($J$1+$J$2*D12+$J$3*(B12-C12)+D12*(B12-C12))*(1-F12)</f>
        <v>-0.20040747841252099</v>
      </c>
      <c r="J12">
        <f t="shared" si="1"/>
        <v>0.36462861160249477</v>
      </c>
      <c r="L12" s="3">
        <f t="shared" si="2"/>
        <v>0.815027582011291</v>
      </c>
    </row>
    <row r="13" spans="2:12" x14ac:dyDescent="0.75">
      <c r="B13">
        <f t="shared" si="3"/>
        <v>0.5</v>
      </c>
      <c r="C13">
        <v>0.35</v>
      </c>
      <c r="D13" s="1">
        <v>1.875</v>
      </c>
      <c r="F13">
        <f>1-EXP(-D13*($J$1+$J$2*D13+$J$3*(B13-C13)+D13*(B13-C13)))</f>
        <v>0.93852117669677326</v>
      </c>
      <c r="G13">
        <f t="shared" si="0"/>
        <v>0.14077817650451602</v>
      </c>
      <c r="H13">
        <f>F13*(($J$1/D13)+$J$2+($J$3*(B13-C13))/D13)</f>
        <v>0.60378195700825754</v>
      </c>
      <c r="I13">
        <f>-F13*(1/(D13^2)) + (1/D13)*($J$1+$J$2*D13+$J$3*(B13-C13)+D13*(B13-C13))*(1-F13)</f>
        <v>-0.21818393488430005</v>
      </c>
      <c r="J13">
        <f t="shared" si="1"/>
        <v>0.3855980221239575</v>
      </c>
      <c r="L13" s="3">
        <f t="shared" si="2"/>
        <v>0.73255216160736791</v>
      </c>
    </row>
    <row r="14" spans="2:12" x14ac:dyDescent="0.75">
      <c r="B14">
        <f t="shared" si="3"/>
        <v>0.6</v>
      </c>
      <c r="C14">
        <v>0.4</v>
      </c>
      <c r="D14" s="1">
        <v>1.8420000000000001</v>
      </c>
      <c r="F14">
        <f>1-EXP(-D14*($J$1+$J$2*D14+$J$3*(B14-C14)+D14*(B14-C14)))</f>
        <v>0.94851892424959372</v>
      </c>
      <c r="G14">
        <f t="shared" si="0"/>
        <v>0.18970378484991871</v>
      </c>
      <c r="H14">
        <f>F14*(($J$1/D14)+$J$2+($J$3*(B14-C14))/D14)</f>
        <v>0.6396065992456138</v>
      </c>
      <c r="I14">
        <f>-F14*(1/(D14^2)) + (1/D14)*($J$1+$J$2*D14+$J$3*(B14-C14)+D14*(B14-C14))*(1-F14)</f>
        <v>-0.23454366221153769</v>
      </c>
      <c r="J14">
        <f t="shared" si="1"/>
        <v>0.40506293703407614</v>
      </c>
      <c r="L14" s="3">
        <f t="shared" si="2"/>
        <v>0.68104505872653864</v>
      </c>
    </row>
    <row r="15" spans="2:12" x14ac:dyDescent="0.75">
      <c r="B15">
        <f t="shared" si="3"/>
        <v>0.7</v>
      </c>
      <c r="C15">
        <v>0.45</v>
      </c>
      <c r="D15" s="1">
        <v>1.802</v>
      </c>
      <c r="F15">
        <f>1-EXP(-D15*($J$1+$J$2*D15+$J$3*(B15-C15)+D15*(B15-C15)))</f>
        <v>0.95557870022886982</v>
      </c>
      <c r="G15">
        <f t="shared" si="0"/>
        <v>0.2388946750572174</v>
      </c>
      <c r="H15">
        <f>F15*(($J$1/D15)+$J$2+($J$3*(B15-C15))/D15)</f>
        <v>0.67749575328102329</v>
      </c>
      <c r="I15">
        <f>-F15*(1/(D15^2)) + (1/D15)*($J$1+$J$2*D15+$J$3*(B15-C15)+D15*(B15-C15))*(1-F15)</f>
        <v>-0.25167780179210136</v>
      </c>
      <c r="J15">
        <f t="shared" si="1"/>
        <v>0.42581795148892193</v>
      </c>
      <c r="L15" s="3">
        <f t="shared" si="2"/>
        <v>0.64060457780301372</v>
      </c>
    </row>
    <row r="16" spans="2:12" x14ac:dyDescent="0.75">
      <c r="B16">
        <f t="shared" si="3"/>
        <v>0.79999999999999993</v>
      </c>
      <c r="C16">
        <v>0.49</v>
      </c>
      <c r="D16" s="1">
        <v>1.7490000000000001</v>
      </c>
      <c r="F16">
        <f>1-EXP(-D16*($J$1+$J$2*D16+$J$3*(B16-C16)+D16*(B16-C16)))</f>
        <v>0.96149175327589598</v>
      </c>
      <c r="G16">
        <f t="shared" si="0"/>
        <v>0.29806244351552769</v>
      </c>
      <c r="H16">
        <f>F16*(($J$1/D16)+$J$2+($J$3*(B16-C16))/D16)</f>
        <v>0.72562666651601992</v>
      </c>
      <c r="I16">
        <f>-F16*(1/(D16^2)) + (1/D16)*($J$1+$J$2*D16+$J$3*(B16-C16)+D16*(B16-C16))*(1-F16)</f>
        <v>-0.2733163227313461</v>
      </c>
      <c r="J16">
        <f t="shared" si="1"/>
        <v>0.45231034378467383</v>
      </c>
      <c r="L16" s="3">
        <f t="shared" si="2"/>
        <v>0.60278084632048112</v>
      </c>
    </row>
    <row r="17" spans="2:12" x14ac:dyDescent="0.75">
      <c r="B17">
        <f t="shared" si="3"/>
        <v>0.89999999999999991</v>
      </c>
      <c r="C17">
        <v>0.54</v>
      </c>
      <c r="D17" s="1">
        <v>1.704</v>
      </c>
      <c r="F17">
        <f>1-EXP(-D17*($J$1+$J$2*D17+$J$3*(B17-C17)+D17*(B17-C17)))</f>
        <v>0.96507535574985714</v>
      </c>
      <c r="G17">
        <f t="shared" si="0"/>
        <v>0.34742712806994847</v>
      </c>
      <c r="H17">
        <f>F17*(($J$1/D17)+$J$2+($J$3*(B17-C17))/D17)</f>
        <v>0.76752941438509759</v>
      </c>
      <c r="I17">
        <f>-F17*(1/(D17^2)) + (1/D17)*($J$1+$J$2*D17+$J$3*(B17-C17)+D17*(B17-C17))*(1-F17)</f>
        <v>-0.29202155234266813</v>
      </c>
      <c r="J17">
        <f t="shared" si="1"/>
        <v>0.47550786204242945</v>
      </c>
      <c r="L17" s="3">
        <f t="shared" si="2"/>
        <v>0.57781947268701661</v>
      </c>
    </row>
    <row r="18" spans="2:12" x14ac:dyDescent="0.75">
      <c r="B18">
        <f t="shared" si="3"/>
        <v>0.99999999999999989</v>
      </c>
      <c r="C18">
        <v>0.59</v>
      </c>
      <c r="D18" s="1">
        <v>1.66</v>
      </c>
      <c r="F18">
        <f>1-EXP(-D18*($J$1+$J$2*D18+$J$3*(B18-C18)+D18*(B18-C18)))</f>
        <v>0.96787195646932966</v>
      </c>
      <c r="G18">
        <f t="shared" si="0"/>
        <v>0.39682750215242507</v>
      </c>
      <c r="H18">
        <f>F18*(($J$1/D18)+$J$2+($J$3*(B18-C18))/D18)</f>
        <v>0.81073852739192953</v>
      </c>
      <c r="I18">
        <f>-F18*(1/(D18^2)) + (1/D18)*($J$1+$J$2*D18+$J$3*(B18-C18)+D18*(B18-C18))*(1-F18)</f>
        <v>-0.31115361717293993</v>
      </c>
      <c r="J18">
        <f t="shared" si="1"/>
        <v>0.4995849102189896</v>
      </c>
      <c r="L18" s="3">
        <f t="shared" si="2"/>
        <v>0.55731592214052728</v>
      </c>
    </row>
    <row r="19" spans="2:12" x14ac:dyDescent="0.75">
      <c r="B19">
        <f t="shared" si="3"/>
        <v>1.0999999999999999</v>
      </c>
      <c r="C19">
        <v>0.64</v>
      </c>
      <c r="D19" s="1">
        <v>1.617</v>
      </c>
      <c r="F19">
        <f>1-EXP(-D19*($J$1+$J$2*D19+$J$3*(B19-C19)+D19*(B19-C19)))</f>
        <v>0.97005390629083543</v>
      </c>
      <c r="G19">
        <f t="shared" si="0"/>
        <v>0.44622479689378414</v>
      </c>
      <c r="H19">
        <f>F19*(($J$1/D19)+$J$2+($J$3*(B19-C19))/D19)</f>
        <v>0.85538117642844014</v>
      </c>
      <c r="I19">
        <f>-F19*(1/(D19^2)) + (1/D19)*($J$1+$J$2*D19+$J$3*(B19-C19)+D19*(B19-C19))*(1-F19)</f>
        <v>-0.3308203526579066</v>
      </c>
      <c r="J19">
        <f t="shared" si="1"/>
        <v>0.52456082377053348</v>
      </c>
      <c r="L19" s="3">
        <f t="shared" si="2"/>
        <v>0.54034671775584364</v>
      </c>
    </row>
    <row r="20" spans="2:12" x14ac:dyDescent="0.75">
      <c r="B20">
        <f t="shared" si="3"/>
        <v>1.2</v>
      </c>
      <c r="C20">
        <v>0.68</v>
      </c>
      <c r="D20" s="1">
        <v>1.5669999999999999</v>
      </c>
      <c r="F20">
        <f>1-EXP(-D20*($J$1+$J$2*D20+$J$3*(B20-C20)+D20*(B20-C20)))</f>
        <v>0.97206175471231338</v>
      </c>
      <c r="G20">
        <f t="shared" si="0"/>
        <v>0.50547211245040291</v>
      </c>
      <c r="H20">
        <f>F20*(($J$1/D20)+$J$2+($J$3*(B20-C20))/D20)</f>
        <v>0.91086590780588728</v>
      </c>
      <c r="I20">
        <f>-F20*(1/(D20^2)) + (1/D20)*($J$1+$J$2*D20+$J$3*(B20-C20)+D20*(B20-C20))*(1-F20)</f>
        <v>-0.35516569356792521</v>
      </c>
      <c r="J20">
        <f t="shared" si="1"/>
        <v>0.55570021423796212</v>
      </c>
      <c r="L20" s="3">
        <f t="shared" si="2"/>
        <v>0.52366632662967549</v>
      </c>
    </row>
    <row r="21" spans="2:12" x14ac:dyDescent="0.75">
      <c r="B21">
        <f t="shared" si="3"/>
        <v>1.3</v>
      </c>
      <c r="C21">
        <v>0.73</v>
      </c>
      <c r="D21" s="1">
        <v>1.5269999999999999</v>
      </c>
      <c r="F21">
        <f>1-EXP(-D21*($J$1+$J$2*D21+$J$3*(B21-C21)+D21*(B21-C21)))</f>
        <v>0.97336327776215992</v>
      </c>
      <c r="G21">
        <f t="shared" si="0"/>
        <v>0.55481706832443123</v>
      </c>
      <c r="H21">
        <f>F21*(($J$1/D21)+$J$2+($J$3*(B21-C21))/D21)</f>
        <v>0.9586066570154711</v>
      </c>
      <c r="I21">
        <f>-F21*(1/(D21^2)) + (1/D21)*($J$1+$J$2*D21+$J$3*(B21-C21)+D21*(B21-C21))*(1-F21)</f>
        <v>-0.37602688280895624</v>
      </c>
      <c r="J21">
        <f t="shared" si="1"/>
        <v>0.58257977420651486</v>
      </c>
      <c r="L21" s="3">
        <f t="shared" si="2"/>
        <v>0.51220449400066281</v>
      </c>
    </row>
    <row r="22" spans="2:12" x14ac:dyDescent="0.75">
      <c r="B22">
        <f t="shared" si="3"/>
        <v>1.4000000000000001</v>
      </c>
      <c r="C22">
        <v>0.78</v>
      </c>
      <c r="D22" s="1">
        <v>1.4890000000000001</v>
      </c>
      <c r="F22">
        <f>1-EXP(-D22*($J$1+$J$2*D22+$J$3*(B22-C22)+D22*(B22-C22)))</f>
        <v>0.97444330777462362</v>
      </c>
      <c r="G22">
        <f t="shared" si="0"/>
        <v>0.60415485082026676</v>
      </c>
      <c r="H22">
        <f>F22*(($J$1/D22)+$J$2+($J$3*(B22-C22))/D22)</f>
        <v>1.0074592009090964</v>
      </c>
      <c r="I22">
        <f>-F22*(1/(D22^2)) + (1/D22)*($J$1+$J$2*D22+$J$3*(B22-C22)+D22*(B22-C22))*(1-F22)</f>
        <v>-0.39724065387449781</v>
      </c>
      <c r="J22">
        <f t="shared" si="1"/>
        <v>0.61021854703459855</v>
      </c>
      <c r="L22" s="3">
        <f t="shared" si="2"/>
        <v>0.50249663580618742</v>
      </c>
    </row>
    <row r="23" spans="2:12" x14ac:dyDescent="0.75">
      <c r="B23">
        <f t="shared" si="3"/>
        <v>1.5000000000000002</v>
      </c>
      <c r="C23">
        <v>0.82</v>
      </c>
      <c r="D23" s="1">
        <v>1.4450000000000001</v>
      </c>
      <c r="F23">
        <f>1-EXP(-D23*($J$1+$J$2*D23+$J$3*(B23-C23)+D23*(B23-C23)))</f>
        <v>0.97542948789569017</v>
      </c>
      <c r="G23">
        <f t="shared" si="0"/>
        <v>0.66329205176906958</v>
      </c>
      <c r="H23">
        <f>F23*(($J$1/D23)+$J$2+($J$3*(B23-C23))/D23)</f>
        <v>1.0680784133030836</v>
      </c>
      <c r="I23">
        <f>-F23*(1/(D23^2)) + (1/D23)*($J$1+$J$2*D23+$J$3*(B23-C23)+D23*(B23-C23))*(1-F23)</f>
        <v>-0.42354188921491465</v>
      </c>
      <c r="J23">
        <f t="shared" si="1"/>
        <v>0.64453652408816897</v>
      </c>
      <c r="L23" s="3">
        <f t="shared" si="2"/>
        <v>0.49282951602865577</v>
      </c>
    </row>
    <row r="24" spans="2:12" x14ac:dyDescent="0.75">
      <c r="B24">
        <f t="shared" si="3"/>
        <v>1.6000000000000003</v>
      </c>
      <c r="C24">
        <v>0.87</v>
      </c>
      <c r="D24" s="1">
        <v>1.411</v>
      </c>
      <c r="F24">
        <f>1-EXP(-D24*($J$1+$J$2*D24+$J$3*(B24-C24)+D24*(B24-C24)))</f>
        <v>0.97616120253591576</v>
      </c>
      <c r="G24">
        <f t="shared" si="0"/>
        <v>0.71259767785121886</v>
      </c>
      <c r="H24">
        <f>F24*(($J$1/D24)+$J$2+($J$3*(B24-C24))/D24)</f>
        <v>1.1194030005409203</v>
      </c>
      <c r="I24">
        <f>-F24*(1/(D24^2)) + (1/D24)*($J$1+$J$2*D24+$J$3*(B24-C24)+D24*(B24-C24))*(1-F24)</f>
        <v>-0.44556712454239567</v>
      </c>
      <c r="J24">
        <f t="shared" si="1"/>
        <v>0.67383587599852468</v>
      </c>
      <c r="L24" s="3">
        <f t="shared" si="2"/>
        <v>0.48602103874900338</v>
      </c>
    </row>
    <row r="25" spans="2:12" x14ac:dyDescent="0.75">
      <c r="B25">
        <f t="shared" si="3"/>
        <v>1.7000000000000004</v>
      </c>
      <c r="C25">
        <v>0.91</v>
      </c>
      <c r="D25" s="1">
        <v>1.371</v>
      </c>
      <c r="F25">
        <f>1-EXP(-D25*($J$1+$J$2*D25+$J$3*(B25-C25)+D25*(B25-C25)))</f>
        <v>0.97676779787282764</v>
      </c>
      <c r="G25">
        <f t="shared" si="0"/>
        <v>0.77164656031953416</v>
      </c>
      <c r="H25">
        <f>F25*(($J$1/D25)+$J$2+($J$3*(B25-C25))/D25)</f>
        <v>1.1834136766277614</v>
      </c>
      <c r="I25">
        <f>-F25*(1/(D25^2)) + (1/D25)*($J$1+$J$2*D25+$J$3*(B25-C25)+D25*(B25-C25))*(1-F25)</f>
        <v>-0.47315590408417235</v>
      </c>
      <c r="J25">
        <f t="shared" si="1"/>
        <v>0.71025777254358902</v>
      </c>
      <c r="L25" s="3">
        <f t="shared" si="2"/>
        <v>0.47928719607110587</v>
      </c>
    </row>
    <row r="26" spans="2:12" x14ac:dyDescent="0.75">
      <c r="B26">
        <f t="shared" si="3"/>
        <v>1.8000000000000005</v>
      </c>
      <c r="C26">
        <v>0.96</v>
      </c>
      <c r="D26" s="1">
        <v>1.34</v>
      </c>
      <c r="F26">
        <f>1-EXP(-D26*($J$1+$J$2*D26+$J$3*(B26-C26)+D26*(B26-C26)))</f>
        <v>0.97722937611835248</v>
      </c>
      <c r="G26">
        <f t="shared" si="0"/>
        <v>0.8208726759394166</v>
      </c>
      <c r="H26">
        <f>F26*(($J$1/D26)+$J$2+($J$3*(B26-C26))/D26)</f>
        <v>1.2375807845319733</v>
      </c>
      <c r="I26">
        <f>-F26*(1/(D26^2)) + (1/D26)*($J$1+$J$2*D26+$J$3*(B26-C26)+D26*(B26-C26))*(1-F26)</f>
        <v>-0.49627111257561757</v>
      </c>
      <c r="J26">
        <f t="shared" si="1"/>
        <v>0.74130967195635566</v>
      </c>
      <c r="L26" s="3">
        <f t="shared" si="2"/>
        <v>0.47453466168970909</v>
      </c>
    </row>
    <row r="27" spans="2:12" x14ac:dyDescent="0.75">
      <c r="B27">
        <f t="shared" si="3"/>
        <v>1.9000000000000006</v>
      </c>
      <c r="C27">
        <v>1.01</v>
      </c>
      <c r="D27" s="1">
        <v>1.31</v>
      </c>
      <c r="F27">
        <f>1-EXP(-D27*($J$1+$J$2*D27+$J$3*(B27-C27)+D27*(B27-C27)))</f>
        <v>0.97757455438756169</v>
      </c>
      <c r="G27">
        <f t="shared" si="0"/>
        <v>0.8700413534049305</v>
      </c>
      <c r="H27">
        <f>F27*(($J$1/D27)+$J$2+($J$3*(B27-C27))/D27)</f>
        <v>1.2932341242394236</v>
      </c>
      <c r="I27">
        <f>-F27*(1/(D27^2)) + (1/D27)*($J$1+$J$2*D27+$J$3*(B27-C27)+D27*(B27-C27))*(1-F27)</f>
        <v>-0.52002365921160543</v>
      </c>
      <c r="J27">
        <f t="shared" si="1"/>
        <v>0.77321046502781821</v>
      </c>
      <c r="L27" s="3">
        <f t="shared" si="2"/>
        <v>0.47053680778230789</v>
      </c>
    </row>
    <row r="28" spans="2:12" x14ac:dyDescent="0.75">
      <c r="B28">
        <f t="shared" si="3"/>
        <v>2.0000000000000004</v>
      </c>
      <c r="C28">
        <v>1.05</v>
      </c>
      <c r="D28" s="1">
        <v>1.2749999999999999</v>
      </c>
      <c r="F28">
        <f>1-EXP(-D28*($J$1+$J$2*D28+$J$3*(B28-C28)+D28*(B28-C28)))</f>
        <v>0.97783104738906168</v>
      </c>
      <c r="G28">
        <f t="shared" si="0"/>
        <v>0.92893949501960904</v>
      </c>
      <c r="H28">
        <f>F28*(($J$1/D28)+$J$2+($J$3*(B28-C28))/D28)</f>
        <v>1.3622528611175069</v>
      </c>
      <c r="I28">
        <f>-F28*(1/(D28^2)) + (1/D28)*($J$1+$J$2*D28+$J$3*(B28-C28)+D28*(B28-C28))*(1-F28)</f>
        <v>-0.54956593392354303</v>
      </c>
      <c r="J28">
        <f t="shared" si="1"/>
        <v>0.81268692719396385</v>
      </c>
      <c r="L28" s="3">
        <f t="shared" si="2"/>
        <v>0.46662528589859975</v>
      </c>
    </row>
    <row r="29" spans="2:12" x14ac:dyDescent="0.75">
      <c r="B29">
        <f t="shared" si="3"/>
        <v>2.1000000000000005</v>
      </c>
      <c r="C29">
        <v>1.1000000000000001</v>
      </c>
      <c r="D29" s="1">
        <v>1.248</v>
      </c>
      <c r="F29">
        <f>1-EXP(-D29*($J$1+$J$2*D29+$J$3*(B29-C29)+D29*(B29-C29)))</f>
        <v>0.97805858210066221</v>
      </c>
      <c r="G29">
        <f t="shared" si="0"/>
        <v>0.97805858210066265</v>
      </c>
      <c r="H29">
        <f>F29*(($J$1/D29)+$J$2+($J$3*(B29-C29))/D29)</f>
        <v>1.4203793062493915</v>
      </c>
      <c r="I29">
        <f>-F29*(1/(D29^2)) + (1/D29)*($J$1+$J$2*D29+$J$3*(B29-C29)+D29*(B29-C29))*(1-F29)</f>
        <v>-0.57415967275681079</v>
      </c>
      <c r="J29">
        <f t="shared" si="1"/>
        <v>0.84621963349258067</v>
      </c>
      <c r="L29" s="3">
        <f t="shared" si="2"/>
        <v>0.46386544895368143</v>
      </c>
    </row>
    <row r="30" spans="2:12" x14ac:dyDescent="0.75">
      <c r="B30">
        <f t="shared" si="3"/>
        <v>2.2000000000000006</v>
      </c>
      <c r="C30">
        <v>1.1399999999999999</v>
      </c>
      <c r="D30" s="1">
        <v>1.2170000000000001</v>
      </c>
      <c r="F30">
        <f>1-EXP(-D30*($J$1+$J$2*D30+$J$3*(B30-C30)+D30*(B30-C30)))</f>
        <v>0.9782583127520651</v>
      </c>
      <c r="G30">
        <f t="shared" si="0"/>
        <v>1.0369538115171897</v>
      </c>
      <c r="H30">
        <f>F30*(($J$1/D30)+$J$2+($J$3*(B30-C30))/D30)</f>
        <v>1.4917836398692854</v>
      </c>
      <c r="I30">
        <f>-F30*(1/(D30^2)) + (1/D30)*($J$1+$J$2*D30+$J$3*(B30-C30)+D30*(B30-C30))*(1-F30)</f>
        <v>-0.60429842223431984</v>
      </c>
      <c r="J30">
        <f t="shared" si="1"/>
        <v>0.88748521763496557</v>
      </c>
      <c r="L30" s="3">
        <f t="shared" si="2"/>
        <v>0.4611656717573237</v>
      </c>
    </row>
    <row r="31" spans="2:12" x14ac:dyDescent="0.75">
      <c r="B31">
        <f t="shared" si="3"/>
        <v>2.3000000000000007</v>
      </c>
      <c r="C31">
        <v>1.19</v>
      </c>
      <c r="D31" s="1">
        <v>1.1919999999999999</v>
      </c>
      <c r="F31">
        <f>1-EXP(-D31*($J$1+$J$2*D31+$J$3*(B31-C31)+D31*(B31-C31)))</f>
        <v>0.97834550532835074</v>
      </c>
      <c r="G31">
        <f t="shared" si="0"/>
        <v>1.0859635109144701</v>
      </c>
      <c r="H31">
        <f>F31*(($J$1/D31)+$J$2+($J$3*(B31-C31))/D31)</f>
        <v>1.5529593377783331</v>
      </c>
      <c r="I31">
        <f>-F31*(1/(D31^2)) + (1/D31)*($J$1+$J$2*D31+$J$3*(B31-C31)+D31*(B31-C31))*(1-F31)</f>
        <v>-0.63014738906285195</v>
      </c>
      <c r="J31">
        <f t="shared" si="1"/>
        <v>0.92281194871548111</v>
      </c>
      <c r="L31" s="3">
        <f t="shared" si="2"/>
        <v>0.45939029386862285</v>
      </c>
    </row>
    <row r="32" spans="2:12" x14ac:dyDescent="0.75">
      <c r="B32">
        <f t="shared" si="3"/>
        <v>2.4000000000000008</v>
      </c>
      <c r="C32">
        <v>1.23</v>
      </c>
      <c r="D32" s="1">
        <v>1.163</v>
      </c>
      <c r="F32">
        <f>1-EXP(-D32*($J$1+$J$2*D32+$J$3*(B32-C32)+D32*(B32-C32)))</f>
        <v>0.97836984082387302</v>
      </c>
      <c r="G32">
        <f t="shared" si="0"/>
        <v>1.1446927137639322</v>
      </c>
      <c r="H32">
        <f>F32*(($J$1/D32)+$J$2+($J$3*(B32-C32))/D32)</f>
        <v>1.6283590562259074</v>
      </c>
      <c r="I32">
        <f>-F32*(1/(D32^2)) + (1/D32)*($J$1+$J$2*D32+$J$3*(B32-C32)+D32*(B32-C32))*(1-F32)</f>
        <v>-0.66203426243486185</v>
      </c>
      <c r="J32">
        <f t="shared" si="1"/>
        <v>0.96632479379104552</v>
      </c>
      <c r="L32" s="3">
        <f t="shared" si="2"/>
        <v>0.45775309315660861</v>
      </c>
    </row>
    <row r="33" spans="2:12" x14ac:dyDescent="0.75">
      <c r="B33">
        <f t="shared" si="3"/>
        <v>2.5000000000000009</v>
      </c>
      <c r="C33">
        <v>1.28</v>
      </c>
      <c r="D33" s="1">
        <v>1.141</v>
      </c>
      <c r="F33">
        <f>1-EXP(-D33*($J$1+$J$2*D33+$J$3*(B33-C33)+D33*(B33-C33)))</f>
        <v>0.97847206467954029</v>
      </c>
      <c r="G33">
        <f t="shared" si="0"/>
        <v>1.19373591890904</v>
      </c>
      <c r="H33">
        <f>F33*(($J$1/D33)+$J$2+($J$3*(B33-C33))/D33)</f>
        <v>1.691144465513837</v>
      </c>
      <c r="I33">
        <f>-F33*(1/(D33^2)) + (1/D33)*($J$1+$J$2*D33+$J$3*(B33-C33)+D33*(B33-C33))*(1-F33)</f>
        <v>-0.68811139761036377</v>
      </c>
      <c r="J33">
        <f t="shared" si="1"/>
        <v>1.0030330679034734</v>
      </c>
      <c r="L33" s="3">
        <f t="shared" si="2"/>
        <v>0.45659469608539172</v>
      </c>
    </row>
    <row r="34" spans="2:12" x14ac:dyDescent="0.75">
      <c r="B34">
        <f t="shared" si="3"/>
        <v>2.600000000000001</v>
      </c>
      <c r="C34">
        <v>1.32</v>
      </c>
      <c r="D34" s="1">
        <v>1.1140000000000001</v>
      </c>
      <c r="F34">
        <f>1-EXP(-D34*($J$1+$J$2*D34+$J$3*(B34-C34)+D34*(B34-C34)))</f>
        <v>0.97837628565098056</v>
      </c>
      <c r="G34">
        <f t="shared" si="0"/>
        <v>1.252321645633256</v>
      </c>
      <c r="H34">
        <f>F34*(($J$1/D34)+$J$2+($J$3*(B34-C34))/D34)</f>
        <v>1.7702989937043825</v>
      </c>
      <c r="I34">
        <f>-F34*(1/(D34^2)) + (1/D34)*($J$1+$J$2*D34+$J$3*(B34-C34)+D34*(B34-C34))*(1-F34)</f>
        <v>-0.7215750321406601</v>
      </c>
      <c r="J34">
        <f t="shared" si="1"/>
        <v>1.0487239615637223</v>
      </c>
      <c r="L34" s="3">
        <f t="shared" si="2"/>
        <v>0.4557597460405084</v>
      </c>
    </row>
    <row r="35" spans="2:12" x14ac:dyDescent="0.75">
      <c r="B35">
        <f t="shared" si="3"/>
        <v>2.7000000000000011</v>
      </c>
      <c r="C35">
        <v>1.36</v>
      </c>
      <c r="D35" s="1">
        <v>1.089</v>
      </c>
      <c r="F35">
        <f>1-EXP(-D35*($J$1+$J$2*D35+$J$3*(B35-C35)+D35*(B35-C35)))</f>
        <v>0.97833105587896319</v>
      </c>
      <c r="G35">
        <f t="shared" si="0"/>
        <v>1.3109636148778117</v>
      </c>
      <c r="H35">
        <f>F35*(($J$1/D35)+$J$2+($J$3*(B35-C35))/D35)</f>
        <v>1.8501596813865304</v>
      </c>
      <c r="I35">
        <f>-F35*(1/(D35^2)) + (1/D35)*($J$1+$J$2*D35+$J$3*(B35-C35)+D35*(B35-C35))*(1-F35)</f>
        <v>-0.75493929739676235</v>
      </c>
      <c r="J35">
        <f t="shared" si="1"/>
        <v>1.0952203839897681</v>
      </c>
      <c r="L35" s="3">
        <f t="shared" si="2"/>
        <v>0.45516900806638672</v>
      </c>
    </row>
    <row r="36" spans="2:12" x14ac:dyDescent="0.75">
      <c r="B36">
        <f t="shared" si="3"/>
        <v>2.8000000000000012</v>
      </c>
      <c r="C36">
        <v>1.41</v>
      </c>
      <c r="D36" s="1">
        <v>1.069</v>
      </c>
      <c r="F36">
        <f>1-EXP(-D36*($J$1+$J$2*D36+$J$3*(B36-C36)+D36*(B36-C36)))</f>
        <v>0.97826884513468193</v>
      </c>
      <c r="G36">
        <f t="shared" si="0"/>
        <v>1.3597936947372091</v>
      </c>
      <c r="H36">
        <f>F36*(($J$1/D36)+$J$2+($J$3*(B36-C36))/D36)</f>
        <v>1.9180566753601849</v>
      </c>
      <c r="I36">
        <f>-F36*(1/(D36^2)) + (1/D36)*($J$1+$J$2*D36+$J$3*(B36-C36)+D36*(B36-C36))*(1-F36)</f>
        <v>-0.78324345328336153</v>
      </c>
      <c r="J36">
        <f t="shared" si="1"/>
        <v>1.1348132220768234</v>
      </c>
      <c r="L36" s="3">
        <f t="shared" si="2"/>
        <v>0.45490662854656921</v>
      </c>
    </row>
    <row r="37" spans="2:12" x14ac:dyDescent="0.75">
      <c r="B37">
        <f t="shared" si="3"/>
        <v>2.9000000000000012</v>
      </c>
      <c r="C37">
        <v>1.45</v>
      </c>
      <c r="D37" s="1">
        <v>1.046</v>
      </c>
      <c r="F37">
        <f>1-EXP(-D37*($J$1+$J$2*D37+$J$3*(B37-C37)+D37*(B37-C37)))</f>
        <v>0.97817499613137726</v>
      </c>
      <c r="G37">
        <f t="shared" si="0"/>
        <v>1.4183537443904983</v>
      </c>
      <c r="H37">
        <f>F37*(($J$1/D37)+$J$2+($J$3*(B37-C37))/D37)</f>
        <v>2.0010505322389314</v>
      </c>
      <c r="I37">
        <f>-F37*(1/(D37^2)) + (1/D37)*($J$1+$J$2*D37+$J$3*(B37-C37)+D37*(B37-C37))*(1-F37)</f>
        <v>-0.81773863617757125</v>
      </c>
      <c r="J37">
        <f t="shared" si="1"/>
        <v>1.18331189606136</v>
      </c>
      <c r="L37" s="3">
        <f t="shared" si="2"/>
        <v>0.45482858275971311</v>
      </c>
    </row>
    <row r="38" spans="2:12" x14ac:dyDescent="0.75">
      <c r="B38">
        <f t="shared" si="3"/>
        <v>3.0000000000000013</v>
      </c>
      <c r="C38">
        <v>1.5</v>
      </c>
      <c r="D38" s="1">
        <v>1.028</v>
      </c>
      <c r="F38">
        <f>1-EXP(-D38*($J$1+$J$2*D38+$J$3*(B38-C38)+D38*(B38-C38)))</f>
        <v>0.97812728260849535</v>
      </c>
      <c r="G38">
        <f t="shared" si="0"/>
        <v>1.4671909239127443</v>
      </c>
      <c r="H38">
        <f>F38*(($J$1/D38)+$J$2+($J$3*(B38-C38))/D38)</f>
        <v>2.0708134415069357</v>
      </c>
      <c r="I38">
        <f>-F38*(1/(D38^2)) + (1/D38)*($J$1+$J$2*D38+$J$3*(B38-C38)+D38*(B38-C38))*(1-F38)</f>
        <v>-0.84645347385479386</v>
      </c>
      <c r="J38">
        <f t="shared" si="1"/>
        <v>1.2243599676521417</v>
      </c>
      <c r="L38" s="3">
        <f t="shared" si="2"/>
        <v>0.45489014214414142</v>
      </c>
    </row>
    <row r="39" spans="2:12" x14ac:dyDescent="0.75">
      <c r="B39">
        <f t="shared" si="3"/>
        <v>3.1000000000000014</v>
      </c>
      <c r="C39">
        <v>1.54</v>
      </c>
      <c r="D39" s="1">
        <v>1.006</v>
      </c>
      <c r="F39">
        <f>1-EXP(-D39*($J$1+$J$2*D39+$J$3*(B39-C39)+D39*(B39-C39)))</f>
        <v>0.97790486786267949</v>
      </c>
      <c r="G39">
        <f t="shared" si="0"/>
        <v>1.5255315938657814</v>
      </c>
      <c r="H39">
        <f>F39*(($J$1/D39)+$J$2+($J$3*(B39-C39))/D39)</f>
        <v>2.1582924235740641</v>
      </c>
      <c r="I39">
        <f>-F39*(1/(D39^2)) + (1/D39)*($J$1+$J$2*D39+$J$3*(B39-C39)+D39*(B39-C39))*(1-F39)</f>
        <v>-0.88304114792006261</v>
      </c>
      <c r="J39">
        <f t="shared" si="1"/>
        <v>1.2752512756540015</v>
      </c>
      <c r="L39" s="3">
        <f t="shared" si="2"/>
        <v>0.45531957851222277</v>
      </c>
    </row>
    <row r="40" spans="2:12" x14ac:dyDescent="0.75">
      <c r="B40">
        <f t="shared" si="3"/>
        <v>3.2000000000000015</v>
      </c>
      <c r="C40">
        <v>1.58</v>
      </c>
      <c r="D40" s="1">
        <v>0.98599999999999999</v>
      </c>
      <c r="F40">
        <f>1-EXP(-D40*($J$1+$J$2*D40+$J$3*(B40-C40)+D40*(B40-C40)))</f>
        <v>0.9777976539997445</v>
      </c>
      <c r="G40">
        <f t="shared" si="0"/>
        <v>1.5840321994795874</v>
      </c>
      <c r="H40">
        <f>F40*(($J$1/D40)+$J$2+($J$3*(B40-C40))/D40)</f>
        <v>2.2454637200320717</v>
      </c>
      <c r="I40">
        <f>-F40*(1/(D40^2)) + (1/D40)*($J$1+$J$2*D40+$J$3*(B40-C40)+D40*(B40-C40))*(1-F40)</f>
        <v>-0.91880747191440715</v>
      </c>
      <c r="J40">
        <f t="shared" si="1"/>
        <v>1.3266562481176645</v>
      </c>
      <c r="L40" s="3">
        <f t="shared" si="2"/>
        <v>0.45578778766680017</v>
      </c>
    </row>
    <row r="41" spans="2:12" x14ac:dyDescent="0.75">
      <c r="B41">
        <f t="shared" si="3"/>
        <v>3.3000000000000016</v>
      </c>
      <c r="C41">
        <v>1.63</v>
      </c>
      <c r="D41" s="1">
        <v>0.97</v>
      </c>
      <c r="F41">
        <f>1-EXP(-D41*($J$1+$J$2*D41+$J$3*(B41-C41)+D41*(B41-C41)))</f>
        <v>0.97770232798696943</v>
      </c>
      <c r="G41">
        <f t="shared" si="0"/>
        <v>1.6327628877382405</v>
      </c>
      <c r="H41">
        <f>F41*(($J$1/D41)+$J$2+($J$3*(B41-C41))/D41)</f>
        <v>2.3192711924721836</v>
      </c>
      <c r="I41">
        <f>-F41*(1/(D41^2)) + (1/D41)*($J$1+$J$2*D41+$J$3*(B41-C41)+D41*(B41-C41))*(1-F41)</f>
        <v>-0.94898309496966171</v>
      </c>
      <c r="J41">
        <f t="shared" si="1"/>
        <v>1.370288097502522</v>
      </c>
      <c r="L41" s="3">
        <f t="shared" si="2"/>
        <v>0.45629864568971423</v>
      </c>
    </row>
    <row r="42" spans="2:12" x14ac:dyDescent="0.75">
      <c r="B42">
        <f t="shared" si="3"/>
        <v>3.4000000000000017</v>
      </c>
      <c r="C42">
        <v>1.67</v>
      </c>
      <c r="D42" s="1">
        <v>0.95099999999999996</v>
      </c>
      <c r="F42">
        <f>1-EXP(-D42*($J$1+$J$2*D42+$J$3*(B42-C42)+D42*(B42-C42)))</f>
        <v>0.97751161398166864</v>
      </c>
      <c r="G42">
        <f t="shared" si="0"/>
        <v>1.6910950921882884</v>
      </c>
      <c r="H42">
        <f>F42*(($J$1/D42)+$J$2+($J$3*(B42-C42))/D42)</f>
        <v>2.4104244062751978</v>
      </c>
      <c r="I42">
        <f>-F42*(1/(D42^2)) + (1/D42)*($J$1+$J$2*D42+$J$3*(B42-C42)+D42*(B42-C42))*(1-F42)</f>
        <v>-0.98648018955257843</v>
      </c>
      <c r="J42">
        <f t="shared" si="1"/>
        <v>1.4239442167226195</v>
      </c>
      <c r="L42" s="3">
        <f t="shared" si="2"/>
        <v>0.45711918069517538</v>
      </c>
    </row>
    <row r="43" spans="2:12" x14ac:dyDescent="0.75">
      <c r="B43">
        <f t="shared" si="3"/>
        <v>3.5000000000000018</v>
      </c>
      <c r="C43">
        <v>1.71</v>
      </c>
      <c r="D43" s="1">
        <v>0.93200000000000005</v>
      </c>
      <c r="F43">
        <f>1-EXP(-D43*($J$1+$J$2*D43+$J$3*(B43-C43)+D43*(B43-C43)))</f>
        <v>0.97721101924344511</v>
      </c>
      <c r="G43">
        <f t="shared" si="0"/>
        <v>1.7492077244457684</v>
      </c>
      <c r="H43">
        <f>F43*(($J$1/D43)+$J$2+($J$3*(B43-C43))/D43)</f>
        <v>2.5049944700370346</v>
      </c>
      <c r="I43">
        <f>-F43*(1/(D43^2)) + (1/D43)*($J$1+$J$2*D43+$J$3*(B43-C43)+D43*(B43-C43))*(1-F43)</f>
        <v>-1.0258005606843381</v>
      </c>
      <c r="J43">
        <f t="shared" si="1"/>
        <v>1.4791939093526965</v>
      </c>
      <c r="L43" s="3">
        <f t="shared" si="2"/>
        <v>0.45818150191316498</v>
      </c>
    </row>
    <row r="44" spans="2:12" x14ac:dyDescent="0.75">
      <c r="B44">
        <f t="shared" si="3"/>
        <v>3.6000000000000019</v>
      </c>
      <c r="C44">
        <v>1.76</v>
      </c>
      <c r="D44" s="1">
        <v>0.91700000000000004</v>
      </c>
      <c r="F44">
        <f>1-EXP(-D44*($J$1+$J$2*D44+$J$3*(B44-C44)+D44*(B44-C44)))</f>
        <v>0.97698801725942874</v>
      </c>
      <c r="G44">
        <f t="shared" si="0"/>
        <v>1.7976579517573508</v>
      </c>
      <c r="H44">
        <f>F44*(($J$1/D44)+$J$2+($J$3*(B44-C44))/D44)</f>
        <v>2.5845434914599634</v>
      </c>
      <c r="I44">
        <f>-F44*(1/(D44^2)) + (1/D44)*($J$1+$J$2*D44+$J$3*(B44-C44)+D44*(B44-C44))*(1-F44)</f>
        <v>-1.0586329428081351</v>
      </c>
      <c r="J44">
        <f t="shared" si="1"/>
        <v>1.5259105486518283</v>
      </c>
      <c r="L44" s="3">
        <f t="shared" si="2"/>
        <v>0.45911812813966879</v>
      </c>
    </row>
    <row r="45" spans="2:12" x14ac:dyDescent="0.75">
      <c r="B45">
        <f t="shared" si="3"/>
        <v>3.700000000000002</v>
      </c>
      <c r="C45">
        <v>1.8</v>
      </c>
      <c r="D45" s="1">
        <v>0.9</v>
      </c>
      <c r="F45">
        <f>1-EXP(-D45*($J$1+$J$2*D45+$J$3*(B45-C45)+D45*(B45-C45)))</f>
        <v>0.97676278056940158</v>
      </c>
      <c r="G45">
        <f t="shared" si="0"/>
        <v>1.8558492830818649</v>
      </c>
      <c r="H45">
        <f>F45*(($J$1/D45)+$J$2+($J$3*(B45-C45))/D45)</f>
        <v>2.6806711866738038</v>
      </c>
      <c r="I45">
        <f>-F45*(1/(D45^2)) + (1/D45)*($J$1+$J$2*D45+$J$3*(B45-C45)+D45*(B45-C45))*(1-F45)</f>
        <v>-1.0979560013228273</v>
      </c>
      <c r="J45">
        <f t="shared" si="1"/>
        <v>1.5827151853509764</v>
      </c>
      <c r="L45" s="3">
        <f t="shared" si="2"/>
        <v>0.46028370265581031</v>
      </c>
    </row>
    <row r="46" spans="2:12" x14ac:dyDescent="0.75">
      <c r="B46">
        <f t="shared" si="3"/>
        <v>3.800000000000002</v>
      </c>
      <c r="C46">
        <v>1.84</v>
      </c>
      <c r="D46" s="1">
        <v>0.88400000000000001</v>
      </c>
      <c r="F46">
        <f>1-EXP(-D46*($J$1+$J$2*D46+$J$3*(B46-C46)+D46*(B46-C46)))</f>
        <v>0.97658097516946696</v>
      </c>
      <c r="G46">
        <f t="shared" si="0"/>
        <v>1.9140987113321573</v>
      </c>
      <c r="H46">
        <f>F46*(($J$1/D46)+$J$2+($J$3*(B46-C46))/D46)</f>
        <v>2.777511185261397</v>
      </c>
      <c r="I46">
        <f>-F46*(1/(D46^2)) + (1/D46)*($J$1+$J$2*D46+$J$3*(B46-C46)+D46*(B46-C46))*(1-F46)</f>
        <v>-1.1371863784037448</v>
      </c>
      <c r="J46">
        <f t="shared" si="1"/>
        <v>1.6403248068576521</v>
      </c>
      <c r="L46" s="3">
        <f t="shared" si="2"/>
        <v>0.46148828311068402</v>
      </c>
    </row>
    <row r="47" spans="2:12" x14ac:dyDescent="0.75">
      <c r="B47">
        <f t="shared" si="3"/>
        <v>3.9000000000000021</v>
      </c>
      <c r="C47">
        <v>1.88</v>
      </c>
      <c r="D47" s="1">
        <v>0.86799999999999999</v>
      </c>
      <c r="F47">
        <f>1-EXP(-D47*($J$1+$J$2*D47+$J$3*(B47-C47)+D47*(B47-C47)))</f>
        <v>0.97630775927461388</v>
      </c>
      <c r="G47">
        <f t="shared" si="0"/>
        <v>1.9721416737347222</v>
      </c>
      <c r="H47">
        <f>F47*(($J$1/D47)+$J$2+($J$3*(B47-C47))/D47)</f>
        <v>2.877633377106191</v>
      </c>
      <c r="I47">
        <f>-F47*(1/(D47^2)) + (1/D47)*($J$1+$J$2*D47+$J$3*(B47-C47)+D47*(B47-C47))*(1-F47)</f>
        <v>-1.1781374062670886</v>
      </c>
      <c r="J47">
        <f t="shared" si="1"/>
        <v>1.6994959708391024</v>
      </c>
      <c r="L47" s="3">
        <f t="shared" si="2"/>
        <v>0.46287137657789401</v>
      </c>
    </row>
    <row r="48" spans="2:12" x14ac:dyDescent="0.75">
      <c r="B48">
        <f t="shared" si="3"/>
        <v>4.0000000000000018</v>
      </c>
      <c r="C48">
        <v>1.93</v>
      </c>
      <c r="D48" s="1">
        <v>0.85499999999999998</v>
      </c>
      <c r="F48">
        <f>1-EXP(-D48*($J$1+$J$2*D48+$J$3*(B48-C48)+D48*(B48-C48)))</f>
        <v>0.97605894472901833</v>
      </c>
      <c r="G48">
        <f t="shared" si="0"/>
        <v>2.0204420155890701</v>
      </c>
      <c r="H48">
        <f>F48*(($J$1/D48)+$J$2+($J$3*(B48-C48))/D48)</f>
        <v>2.9627099138105106</v>
      </c>
      <c r="I48">
        <f>-F48*(1/(D48^2)) + (1/D48)*($J$1+$J$2*D48+$J$3*(B48-C48)+D48*(B48-C48))*(1-F48)</f>
        <v>-1.2129641037151173</v>
      </c>
      <c r="J48">
        <f t="shared" si="1"/>
        <v>1.7497458100953933</v>
      </c>
      <c r="L48" s="3">
        <f t="shared" si="2"/>
        <v>0.46410043504337439</v>
      </c>
    </row>
    <row r="49" spans="2:12" x14ac:dyDescent="0.75">
      <c r="B49">
        <f t="shared" si="3"/>
        <v>4.1000000000000014</v>
      </c>
      <c r="C49">
        <v>1.97</v>
      </c>
      <c r="D49" s="1">
        <v>0.84</v>
      </c>
      <c r="F49">
        <f>1-EXP(-D49*($J$1+$J$2*D49+$J$3*(B49-C49)+D49*(B49-C49)))</f>
        <v>0.97576864928150886</v>
      </c>
      <c r="G49">
        <f t="shared" si="0"/>
        <v>2.0783872229696154</v>
      </c>
      <c r="H49">
        <f>F49*(($J$1/D49)+$J$2+($J$3*(B49-C49))/D49)</f>
        <v>3.0661206544982664</v>
      </c>
      <c r="I49">
        <f>-F49*(1/(D49^2)) + (1/D49)*($J$1+$J$2*D49+$J$3*(B49-C49)+D49*(B49-C49))*(1-F49)</f>
        <v>-1.2551380493521036</v>
      </c>
      <c r="J49">
        <f t="shared" si="1"/>
        <v>1.8109826051461628</v>
      </c>
      <c r="L49" s="3">
        <f t="shared" si="2"/>
        <v>0.46562365760509361</v>
      </c>
    </row>
    <row r="50" spans="2:12" x14ac:dyDescent="0.75">
      <c r="B50">
        <f t="shared" si="3"/>
        <v>4.2000000000000011</v>
      </c>
      <c r="C50">
        <v>2.0099999999999998</v>
      </c>
      <c r="D50" s="1">
        <v>0.82599999999999996</v>
      </c>
      <c r="F50">
        <f>1-EXP(-D50*($J$1+$J$2*D50+$J$3*(B50-C50)+D50*(B50-C50)))</f>
        <v>0.97554702124471548</v>
      </c>
      <c r="G50">
        <f t="shared" si="0"/>
        <v>2.1364479765259281</v>
      </c>
      <c r="H50">
        <f>F50*(($J$1/D50)+$J$2+($J$3*(B50-C50))/D50)</f>
        <v>3.1697010842815598</v>
      </c>
      <c r="I50">
        <f>-F50*(1/(D50^2)) + (1/D50)*($J$1+$J$2*D50+$J$3*(B50-C50)+D50*(B50-C50))*(1-F50)</f>
        <v>-1.296838724879966</v>
      </c>
      <c r="J50">
        <f t="shared" si="1"/>
        <v>1.8728623594015938</v>
      </c>
      <c r="L50" s="3">
        <f t="shared" si="2"/>
        <v>0.46712830947977046</v>
      </c>
    </row>
    <row r="51" spans="2:12" x14ac:dyDescent="0.75">
      <c r="B51">
        <f t="shared" si="3"/>
        <v>4.3000000000000007</v>
      </c>
      <c r="C51">
        <v>2.0499999999999998</v>
      </c>
      <c r="D51" s="1">
        <v>0.81200000000000006</v>
      </c>
      <c r="F51">
        <f>1-EXP(-D51*($J$1+$J$2*D51+$J$3*(B51-C51)+D51*(B51-C51)))</f>
        <v>0.97524533195814689</v>
      </c>
      <c r="G51">
        <f t="shared" si="0"/>
        <v>2.1943019969058315</v>
      </c>
      <c r="H51">
        <f>F51*(($J$1/D51)+$J$2+($J$3*(B51-C51))/D51)</f>
        <v>3.2765600863485482</v>
      </c>
      <c r="I51">
        <f>-F51*(1/(D51^2)) + (1/D51)*($J$1+$J$2*D51+$J$3*(B51-C51)+D51*(B51-C51))*(1-F51)</f>
        <v>-1.3402476118375559</v>
      </c>
      <c r="J51">
        <f t="shared" si="1"/>
        <v>1.9363124745109923</v>
      </c>
      <c r="L51" s="3">
        <f t="shared" si="2"/>
        <v>0.46877104796633962</v>
      </c>
    </row>
    <row r="52" spans="2:12" x14ac:dyDescent="0.75">
      <c r="B52">
        <f t="shared" si="3"/>
        <v>4.4000000000000004</v>
      </c>
      <c r="C52">
        <v>2.1</v>
      </c>
      <c r="D52" s="1">
        <v>0.80100000000000005</v>
      </c>
      <c r="F52">
        <f>1-EXP(-D52*($J$1+$J$2*D52+$J$3*(B52-C52)+D52*(B52-C52)))</f>
        <v>0.97504016509785052</v>
      </c>
      <c r="G52">
        <f t="shared" si="0"/>
        <v>2.2425923797250564</v>
      </c>
      <c r="H52">
        <f>F52*(($J$1/D52)+$J$2+($J$3*(B52-C52))/D52)</f>
        <v>3.3658362153605643</v>
      </c>
      <c r="I52">
        <f>-F52*(1/(D52^2)) + (1/D52)*($J$1+$J$2*D52+$J$3*(B52-C52)+D52*(B52-C52))*(1-F52)</f>
        <v>-1.376129728808682</v>
      </c>
      <c r="J52">
        <f t="shared" si="1"/>
        <v>1.9897064865518823</v>
      </c>
      <c r="L52" s="3">
        <f t="shared" si="2"/>
        <v>0.47012428692262559</v>
      </c>
    </row>
    <row r="53" spans="2:12" x14ac:dyDescent="0.75">
      <c r="B53">
        <f t="shared" si="3"/>
        <v>4.5</v>
      </c>
      <c r="C53">
        <v>2.14</v>
      </c>
      <c r="D53" s="1">
        <v>0.78700000000000003</v>
      </c>
      <c r="F53">
        <f>1-EXP(-D53*($J$1+$J$2*D53+$J$3*(B53-C53)+D53*(B53-C53)))</f>
        <v>0.97459144345917126</v>
      </c>
      <c r="G53">
        <f t="shared" si="0"/>
        <v>2.3000358065636441</v>
      </c>
      <c r="H53">
        <f>F53*(($J$1/D53)+$J$2+($J$3*(B53-C53))/D53)</f>
        <v>3.4789942461016805</v>
      </c>
      <c r="I53">
        <f>-F53*(1/(D53^2)) + (1/D53)*($J$1+$J$2*D53+$J$3*(B53-C53)+D53*(B53-C53))*(1-F53)</f>
        <v>-1.422858131660514</v>
      </c>
      <c r="J53">
        <f t="shared" si="1"/>
        <v>2.0561361144411663</v>
      </c>
      <c r="L53" s="3">
        <f t="shared" si="2"/>
        <v>0.47200527245648527</v>
      </c>
    </row>
    <row r="54" spans="2:12" x14ac:dyDescent="0.75">
      <c r="B54">
        <f t="shared" si="3"/>
        <v>4.5999999999999996</v>
      </c>
      <c r="C54">
        <v>2.1800000000000002</v>
      </c>
      <c r="D54" s="1">
        <v>0.77500000000000002</v>
      </c>
      <c r="F54">
        <f>1-EXP(-D54*($J$1+$J$2*D54+$J$3*(B54-C54)+D54*(B54-C54)))</f>
        <v>0.97440014905565253</v>
      </c>
      <c r="G54">
        <f t="shared" si="0"/>
        <v>2.3580483607146787</v>
      </c>
      <c r="H54">
        <f>F54*(($J$1/D54)+$J$2+($J$3*(B54-C54))/D54)</f>
        <v>3.5879928069258944</v>
      </c>
      <c r="I54">
        <f>-F54*(1/(D54^2)) + (1/D54)*($J$1+$J$2*D54+$J$3*(B54-C54)+D54*(B54-C54))*(1-F54)</f>
        <v>-1.4660934449444696</v>
      </c>
      <c r="J54">
        <f t="shared" si="1"/>
        <v>2.1218993619814248</v>
      </c>
      <c r="L54" s="3">
        <f t="shared" si="2"/>
        <v>0.47364377741096325</v>
      </c>
    </row>
    <row r="55" spans="2:12" x14ac:dyDescent="0.75">
      <c r="B55">
        <f t="shared" si="3"/>
        <v>4.6999999999999993</v>
      </c>
      <c r="C55">
        <v>2.2200000000000002</v>
      </c>
      <c r="D55" s="1">
        <v>0.76200000000000001</v>
      </c>
      <c r="F55">
        <f>1-EXP(-D55*($J$1+$J$2*D55+$J$3*(B55-C55)+D55*(B55-C55)))</f>
        <v>0.97396593275570864</v>
      </c>
      <c r="G55">
        <f t="shared" si="0"/>
        <v>2.4154355132341565</v>
      </c>
      <c r="H55">
        <f>F55*(($J$1/D55)+$J$2+($J$3*(B55-C55))/D55)</f>
        <v>3.7042659707602605</v>
      </c>
      <c r="I55">
        <f>-F55*(1/(D55^2)) + (1/D55)*($J$1+$J$2*D55+$J$3*(B55-C55)+D55*(B55-C55))*(1-F55)</f>
        <v>-1.5138097719569372</v>
      </c>
      <c r="J55">
        <f t="shared" si="1"/>
        <v>2.1904561988033233</v>
      </c>
      <c r="L55" s="3">
        <f t="shared" si="2"/>
        <v>0.47557700783076923</v>
      </c>
    </row>
    <row r="56" spans="2:12" x14ac:dyDescent="0.75">
      <c r="B56">
        <f t="shared" si="3"/>
        <v>4.7999999999999989</v>
      </c>
      <c r="C56">
        <v>2.2599999999999998</v>
      </c>
      <c r="D56" s="1">
        <v>0.75</v>
      </c>
      <c r="F56">
        <f>1-EXP(-D56*($J$1+$J$2*D56+$J$3*(B56-C56)+D56*(B56-C56)))</f>
        <v>0.97363255041952912</v>
      </c>
      <c r="G56">
        <f t="shared" si="0"/>
        <v>2.4730266780656032</v>
      </c>
      <c r="H56">
        <f>F56*(($J$1/D56)+$J$2+($J$3*(B56-C56))/D56)</f>
        <v>3.8198850394792849</v>
      </c>
      <c r="I56">
        <f>-F56*(1/(D56^2)) + (1/D56)*($J$1+$J$2*D56+$J$3*(B56-C56)+D56*(B56-C56))*(1-F56)</f>
        <v>-1.5604806960684972</v>
      </c>
      <c r="J56">
        <f t="shared" si="1"/>
        <v>2.2594043434107878</v>
      </c>
      <c r="L56" s="3">
        <f t="shared" si="2"/>
        <v>0.47742995791324067</v>
      </c>
    </row>
    <row r="57" spans="2:12" x14ac:dyDescent="0.75">
      <c r="B57">
        <f t="shared" si="3"/>
        <v>4.8999999999999986</v>
      </c>
      <c r="C57">
        <v>2.2999999999999998</v>
      </c>
      <c r="D57" s="1">
        <v>0.73899999999999999</v>
      </c>
      <c r="F57">
        <f>1-EXP(-D57*($J$1+$J$2*D57+$J$3*(B57-C57)+D57*(B57-C57)))</f>
        <v>0.97341134478908597</v>
      </c>
      <c r="G57">
        <f t="shared" si="0"/>
        <v>2.5308694964516225</v>
      </c>
      <c r="H57">
        <f>F57*(($J$1/D57)+$J$2+($J$3*(B57-C57))/D57)</f>
        <v>3.9344127419726114</v>
      </c>
      <c r="I57">
        <f>-F57*(1/(D57^2)) + (1/D57)*($J$1+$J$2*D57+$J$3*(B57-C57)+D57*(B57-C57))*(1-F57)</f>
        <v>-1.6058109761748183</v>
      </c>
      <c r="J57">
        <f t="shared" si="1"/>
        <v>2.3286017657977931</v>
      </c>
      <c r="L57" s="3">
        <f t="shared" si="2"/>
        <v>0.47918829850634803</v>
      </c>
    </row>
    <row r="58" spans="2:12" x14ac:dyDescent="0.75">
      <c r="B58">
        <f t="shared" si="3"/>
        <v>4.9999999999999982</v>
      </c>
      <c r="C58">
        <v>2.34</v>
      </c>
      <c r="D58" s="1">
        <v>0.72799999999999998</v>
      </c>
      <c r="F58">
        <f>1-EXP(-D58*($J$1+$J$2*D58+$J$3*(B58-C58)+D58*(B58-C58)))</f>
        <v>0.97312655460567488</v>
      </c>
      <c r="G58">
        <f t="shared" si="0"/>
        <v>2.5885166352510938</v>
      </c>
      <c r="H58">
        <f>F58*(($J$1/D58)+$J$2+($J$3*(B58-C58))/D58)</f>
        <v>4.0521096670764303</v>
      </c>
      <c r="I58">
        <f>-F58*(1/(D58^2)) + (1/D58)*($J$1+$J$2*D58+$J$3*(B58-C58)+D58*(B58-C58))*(1-F58)</f>
        <v>-1.6527585829353857</v>
      </c>
      <c r="J58">
        <f t="shared" si="1"/>
        <v>2.3993510841410446</v>
      </c>
      <c r="L58" s="3">
        <f t="shared" si="2"/>
        <v>0.4810374330523442</v>
      </c>
    </row>
    <row r="59" spans="2:12" x14ac:dyDescent="0.75">
      <c r="B59">
        <f t="shared" si="3"/>
        <v>5.0999999999999979</v>
      </c>
      <c r="C59">
        <v>2.39</v>
      </c>
      <c r="D59" s="1">
        <v>0.71899999999999997</v>
      </c>
      <c r="F59">
        <f>1-EXP(-D59*($J$1+$J$2*D59+$J$3*(B59-C59)+D59*(B59-C59)))</f>
        <v>0.97287175546279792</v>
      </c>
      <c r="G59">
        <f t="shared" si="0"/>
        <v>2.6364824573041803</v>
      </c>
      <c r="H59">
        <f>F59*(($J$1/D59)+$J$2+($J$3*(B59-C59))/D59)</f>
        <v>4.1518892045199181</v>
      </c>
      <c r="I59">
        <f>-F59*(1/(D59^2)) + (1/D59)*($J$1+$J$2*D59+$J$3*(B59-C59)+D59*(B59-C59))*(1-F59)</f>
        <v>-1.6926137525481566</v>
      </c>
      <c r="J59">
        <f t="shared" si="1"/>
        <v>2.4592754519717612</v>
      </c>
      <c r="L59" s="3">
        <f t="shared" si="2"/>
        <v>0.48261230139977368</v>
      </c>
    </row>
    <row r="60" spans="2:12" x14ac:dyDescent="0.75">
      <c r="B60">
        <f t="shared" si="3"/>
        <v>5.1999999999999975</v>
      </c>
      <c r="C60">
        <v>2.4300000000000002</v>
      </c>
      <c r="D60" s="1">
        <v>0.70799999999999996</v>
      </c>
      <c r="F60">
        <f>1-EXP(-D60*($J$1+$J$2*D60+$J$3*(B60-C60)+D60*(B60-C60)))</f>
        <v>0.97246877544311172</v>
      </c>
      <c r="G60">
        <f t="shared" si="0"/>
        <v>2.6937385079774168</v>
      </c>
      <c r="H60">
        <f>F60*(($J$1/D60)+$J$2+($J$3*(B60-C60))/D60)</f>
        <v>4.2757034619729675</v>
      </c>
      <c r="I60">
        <f>-F60*(1/(D60^2)) + (1/D60)*($J$1+$J$2*D60+$J$3*(B60-C60)+D60*(B60-C60))*(1-F60)</f>
        <v>-1.7427237046113899</v>
      </c>
      <c r="J60">
        <f t="shared" si="1"/>
        <v>2.5329797573615775</v>
      </c>
      <c r="L60" s="3">
        <f t="shared" si="2"/>
        <v>0.48462144480965125</v>
      </c>
    </row>
    <row r="61" spans="2:12" x14ac:dyDescent="0.75">
      <c r="B61">
        <f t="shared" si="3"/>
        <v>5.2999999999999972</v>
      </c>
      <c r="C61">
        <v>2.4700000000000002</v>
      </c>
      <c r="D61" s="1">
        <v>0.69699999999999995</v>
      </c>
      <c r="F61">
        <f>1-EXP(-D61*($J$1+$J$2*D61+$J$3*(B61-C61)+D61*(B61-C61)))</f>
        <v>0.97199892621281669</v>
      </c>
      <c r="G61">
        <f t="shared" si="0"/>
        <v>2.7507569611822684</v>
      </c>
      <c r="H61">
        <f>F61*(($J$1/D61)+$J$2+($J$3*(B61-C61))/D61)</f>
        <v>4.4030714629527044</v>
      </c>
      <c r="I61">
        <f>-F61*(1/(D61^2)) + (1/D61)*($J$1+$J$2*D61+$J$3*(B61-C61)+D61*(B61-C61))*(1-F61)</f>
        <v>-1.7946986142978136</v>
      </c>
      <c r="J61">
        <f t="shared" si="1"/>
        <v>2.6083728486548905</v>
      </c>
      <c r="L61" s="3">
        <f t="shared" si="2"/>
        <v>0.48671574326619044</v>
      </c>
    </row>
    <row r="62" spans="2:12" x14ac:dyDescent="0.75">
      <c r="B62">
        <f t="shared" si="3"/>
        <v>5.3999999999999968</v>
      </c>
      <c r="C62">
        <v>2.5099999999999998</v>
      </c>
      <c r="D62" s="1">
        <v>0.68700000000000006</v>
      </c>
      <c r="F62">
        <f>1-EXP(-D62*($J$1+$J$2*D62+$J$3*(B62-C62)+D62*(B62-C62)))</f>
        <v>0.97166510967435638</v>
      </c>
      <c r="G62">
        <f t="shared" si="0"/>
        <v>2.8081121669588871</v>
      </c>
      <c r="H62">
        <f>F62*(($J$1/D62)+$J$2+($J$3*(B62-C62))/D62)</f>
        <v>4.5285675857508529</v>
      </c>
      <c r="I62">
        <f>-F62*(1/(D62^2)) + (1/D62)*($J$1+$J$2*D62+$J$3*(B62-C62)+D62*(B62-C62))*(1-F62)</f>
        <v>-1.8448015778176581</v>
      </c>
      <c r="J62">
        <f t="shared" si="1"/>
        <v>2.6837660079331949</v>
      </c>
      <c r="L62" s="3">
        <f t="shared" si="2"/>
        <v>0.4886790861827397</v>
      </c>
    </row>
    <row r="63" spans="2:12" x14ac:dyDescent="0.75">
      <c r="B63">
        <f t="shared" si="3"/>
        <v>5.4999999999999964</v>
      </c>
      <c r="C63">
        <v>2.5499999999999998</v>
      </c>
      <c r="D63" s="1">
        <v>0.67800000000000005</v>
      </c>
      <c r="F63">
        <f>1-EXP(-D63*($J$1+$J$2*D63+$J$3*(B63-C63)+D63*(B63-C63)))</f>
        <v>0.97147935306106659</v>
      </c>
      <c r="G63">
        <f t="shared" si="0"/>
        <v>2.8658640915301432</v>
      </c>
      <c r="H63">
        <f>F63*(($J$1/D63)+$J$2+($J$3*(B63-C63))/D63)</f>
        <v>4.6516380114711566</v>
      </c>
      <c r="I63">
        <f>-F63*(1/(D63^2)) + (1/D63)*($J$1+$J$2*D63+$J$3*(B63-C63)+D63*(B63-C63))*(1-F63)</f>
        <v>-1.8926649389082919</v>
      </c>
      <c r="J63">
        <f t="shared" si="1"/>
        <v>2.7589730725628647</v>
      </c>
      <c r="L63" s="3">
        <f t="shared" si="2"/>
        <v>0.49049830103086067</v>
      </c>
    </row>
    <row r="64" spans="2:12" x14ac:dyDescent="0.75">
      <c r="B64">
        <f t="shared" si="3"/>
        <v>5.5999999999999961</v>
      </c>
      <c r="C64">
        <v>2.59</v>
      </c>
      <c r="D64" s="1">
        <v>0.66800000000000004</v>
      </c>
      <c r="F64">
        <f>1-EXP(-D64*($J$1+$J$2*D64+$J$3*(B64-C64)+D64*(B64-C64)))</f>
        <v>0.97102886935992772</v>
      </c>
      <c r="G64">
        <f t="shared" si="0"/>
        <v>2.9227968967733786</v>
      </c>
      <c r="H64">
        <f>F64*(($J$1/D64)+$J$2+($J$3*(B64-C64))/D64)</f>
        <v>4.7837708176296152</v>
      </c>
      <c r="I64">
        <f>-F64*(1/(D64^2)) + (1/D64)*($J$1+$J$2*D64+$J$3*(B64-C64)+D64*(B64-C64))*(1-F64)</f>
        <v>-1.9461725526903368</v>
      </c>
      <c r="J64">
        <f t="shared" si="1"/>
        <v>2.8375982649392784</v>
      </c>
      <c r="L64" s="3">
        <f t="shared" si="2"/>
        <v>0.49260479277529556</v>
      </c>
    </row>
    <row r="65" spans="2:12" x14ac:dyDescent="0.75">
      <c r="B65">
        <f t="shared" si="3"/>
        <v>5.6999999999999957</v>
      </c>
      <c r="C65">
        <v>2.63</v>
      </c>
      <c r="D65" s="1">
        <v>0.65900000000000003</v>
      </c>
      <c r="F65">
        <f>1-EXP(-D65*($J$1+$J$2*D65+$J$3*(B65-C65)+D65*(B65-C65)))</f>
        <v>0.97073327927748143</v>
      </c>
      <c r="G65">
        <f t="shared" si="0"/>
        <v>2.9801511673818641</v>
      </c>
      <c r="H65">
        <f>F65*(($J$1/D65)+$J$2+($J$3*(B65-C65))/D65)</f>
        <v>4.9132508594325826</v>
      </c>
      <c r="I65">
        <f>-F65*(1/(D65^2)) + (1/D65)*($J$1+$J$2*D65+$J$3*(B65-C65)+D65*(B65-C65))*(1-F65)</f>
        <v>-1.9972865146863215</v>
      </c>
      <c r="J65">
        <f t="shared" si="1"/>
        <v>2.9159643447462611</v>
      </c>
      <c r="L65" s="3">
        <f t="shared" si="2"/>
        <v>0.49455685505960895</v>
      </c>
    </row>
    <row r="66" spans="2:12" x14ac:dyDescent="0.75">
      <c r="B66">
        <f t="shared" si="3"/>
        <v>5.7999999999999954</v>
      </c>
      <c r="C66">
        <v>2.67</v>
      </c>
      <c r="D66" s="1">
        <v>0.65</v>
      </c>
      <c r="F66">
        <f>1-EXP(-D66*($J$1+$J$2*D66+$J$3*(B66-C66)+D66*(B66-C66)))</f>
        <v>0.97038354026279172</v>
      </c>
      <c r="G66">
        <f t="shared" si="0"/>
        <v>3.0373004810225335</v>
      </c>
      <c r="H66">
        <f>F66*(($J$1/D66)+$J$2+($J$3*(B66-C66))/D66)</f>
        <v>5.0459944093665117</v>
      </c>
      <c r="I66">
        <f>-F66*(1/(D66^2)) + (1/D66)*($J$1+$J$2*D66+$J$3*(B66-C66)+D66*(B66-C66))*(1-F66)</f>
        <v>-2.0500606661589762</v>
      </c>
      <c r="J66">
        <f t="shared" si="1"/>
        <v>2.9959337432075355</v>
      </c>
      <c r="L66" s="3">
        <f t="shared" si="2"/>
        <v>0.49657176099273043</v>
      </c>
    </row>
    <row r="67" spans="2:12" x14ac:dyDescent="0.75">
      <c r="B67">
        <f t="shared" si="3"/>
        <v>5.899999999999995</v>
      </c>
      <c r="C67">
        <v>2.71</v>
      </c>
      <c r="D67" s="1">
        <v>0.64100000000000001</v>
      </c>
      <c r="F67">
        <f>1-EXP(-D67*($J$1+$J$2*D67+$J$3*(B67-C67)+D67*(B67-C67)))</f>
        <v>0.96997866369669861</v>
      </c>
      <c r="G67">
        <f t="shared" si="0"/>
        <v>3.0942319371924638</v>
      </c>
      <c r="H67">
        <f>F67*(($J$1/D67)+$J$2+($J$3*(B67-C67))/D67)</f>
        <v>5.1821223600039401</v>
      </c>
      <c r="I67">
        <f>-F67*(1/(D67^2)) + (1/D67)*($J$1+$J$2*D67+$J$3*(B67-C67)+D67*(B67-C67))*(1-F67)</f>
        <v>-2.1045715272379559</v>
      </c>
      <c r="J67">
        <f t="shared" si="1"/>
        <v>3.0775508327659842</v>
      </c>
      <c r="L67" s="3">
        <f t="shared" si="2"/>
        <v>0.49864859919343923</v>
      </c>
    </row>
    <row r="68" spans="2:12" x14ac:dyDescent="0.75">
      <c r="B68">
        <f t="shared" si="3"/>
        <v>5.9999999999999947</v>
      </c>
      <c r="C68">
        <v>2.75</v>
      </c>
      <c r="D68" s="1">
        <v>0.63200000000000001</v>
      </c>
      <c r="F68">
        <f>1-EXP(-D68*($J$1+$J$2*D68+$J$3*(B68-C68)+D68*(B68-C68)))</f>
        <v>0.96951739847695451</v>
      </c>
      <c r="G68">
        <f t="shared" si="0"/>
        <v>3.150931545050097</v>
      </c>
      <c r="H68">
        <f>F68*(($J$1/D68)+$J$2+($J$3*(B68-C68))/D68)</f>
        <v>5.3217607706588588</v>
      </c>
      <c r="I68">
        <f>-F68*(1/(D68^2)) + (1/D68)*($J$1+$J$2*D68+$J$3*(B68-C68)+D68*(B68-C68))*(1-F68)</f>
        <v>-2.1608988292808973</v>
      </c>
      <c r="J68">
        <f t="shared" si="1"/>
        <v>3.1608619413779615</v>
      </c>
      <c r="L68" s="3">
        <f t="shared" si="2"/>
        <v>0.50078665409041168</v>
      </c>
    </row>
    <row r="69" spans="2:12" x14ac:dyDescent="0.75">
      <c r="B69">
        <f t="shared" si="3"/>
        <v>6.0999999999999943</v>
      </c>
      <c r="C69">
        <v>2.79</v>
      </c>
      <c r="D69" s="1">
        <v>0.624</v>
      </c>
      <c r="F69">
        <f>1-EXP(-D69*($J$1+$J$2*D69+$J$3*(B69-C69)+D69*(B69-C69)))</f>
        <v>0.96923517724312469</v>
      </c>
      <c r="G69">
        <f t="shared" si="0"/>
        <v>3.2081684366747374</v>
      </c>
      <c r="H69">
        <f>F69*(($J$1/D69)+$J$2+($J$3*(B69-C69))/D69)</f>
        <v>5.4576949395499401</v>
      </c>
      <c r="I69">
        <f>-F69*(1/(D69^2)) + (1/D69)*($J$1+$J$2*D69+$J$3*(B69-C69)+D69*(B69-C69))*(1-F69)</f>
        <v>-2.2141350140326823</v>
      </c>
      <c r="J69">
        <f t="shared" si="1"/>
        <v>3.2435599255172578</v>
      </c>
      <c r="L69" s="3">
        <f t="shared" si="2"/>
        <v>0.50274279129991895</v>
      </c>
    </row>
    <row r="70" spans="2:12" x14ac:dyDescent="0.75">
      <c r="B70">
        <f t="shared" si="3"/>
        <v>6.199999999999994</v>
      </c>
      <c r="C70">
        <v>2.83</v>
      </c>
      <c r="D70" s="1">
        <v>0.61599999999999999</v>
      </c>
      <c r="F70">
        <f>1-EXP(-D70*($J$1+$J$2*D70+$J$3*(B70-C70)+D70*(B70-C70)))</f>
        <v>0.96890410680113626</v>
      </c>
      <c r="G70">
        <f t="shared" si="0"/>
        <v>3.2652068399198231</v>
      </c>
      <c r="H70">
        <f>F70*(($J$1/D70)+$J$2+($J$3*(B70-C70))/D70)</f>
        <v>5.5968368234261021</v>
      </c>
      <c r="I70">
        <f>-F70*(1/(D70^2)) + (1/D70)*($J$1+$J$2*D70+$J$3*(B70-C70)+D70*(B70-C70))*(1-F70)</f>
        <v>-2.2689856719085553</v>
      </c>
      <c r="J70">
        <f t="shared" si="1"/>
        <v>3.3278511515175468</v>
      </c>
      <c r="L70" s="3">
        <f t="shared" si="2"/>
        <v>0.50475077814263747</v>
      </c>
    </row>
    <row r="71" spans="2:12" x14ac:dyDescent="0.75">
      <c r="B71">
        <f t="shared" si="3"/>
        <v>6.2999999999999936</v>
      </c>
      <c r="C71">
        <v>2.87</v>
      </c>
      <c r="D71" s="1">
        <v>0.60799999999999998</v>
      </c>
      <c r="F71">
        <f>1-EXP(-D71*($J$1+$J$2*D71+$J$3*(B71-C71)+D71*(B71-C71)))</f>
        <v>0.96852339539344645</v>
      </c>
      <c r="G71">
        <f t="shared" si="0"/>
        <v>3.3220352461995151</v>
      </c>
      <c r="H71">
        <f>F71*(($J$1/D71)+$J$2+($J$3*(B71-C71))/D71)</f>
        <v>5.7392976007615859</v>
      </c>
      <c r="I71">
        <f>-F71*(1/(D71^2)) + (1/D71)*($J$1+$J$2*D71+$J$3*(B71-C71)+D71*(B71-C71))*(1-F71)</f>
        <v>-2.3255205292711216</v>
      </c>
      <c r="J71">
        <f t="shared" si="1"/>
        <v>3.4137770714904643</v>
      </c>
      <c r="L71" s="3">
        <f t="shared" si="2"/>
        <v>0.50681000456693337</v>
      </c>
    </row>
    <row r="72" spans="2:12" x14ac:dyDescent="0.75">
      <c r="B72">
        <f t="shared" si="3"/>
        <v>6.3999999999999932</v>
      </c>
      <c r="C72">
        <v>2.91</v>
      </c>
      <c r="D72" s="1">
        <v>0.6</v>
      </c>
      <c r="F72">
        <f>1-EXP(-D72*($J$1+$J$2*D72+$J$3*(B72-C72)+D72*(B72-C72)))</f>
        <v>0.96809204732165843</v>
      </c>
      <c r="G72">
        <f t="shared" si="0"/>
        <v>3.3786412451525814</v>
      </c>
      <c r="H72">
        <f>F72*(($J$1/D72)+$J$2+($J$3*(B72-C72))/D72)</f>
        <v>5.8851929043429072</v>
      </c>
      <c r="I72">
        <f>-F72*(1/(D72^2)) + (1/D72)*($J$1+$J$2*D72+$J$3*(B72-C72)+D72*(B72-C72))*(1-F72)</f>
        <v>-2.3838120587223326</v>
      </c>
      <c r="J72">
        <f t="shared" si="1"/>
        <v>3.5013808456205746</v>
      </c>
      <c r="L72" s="3">
        <f t="shared" si="2"/>
        <v>0.50892000046283281</v>
      </c>
    </row>
    <row r="73" spans="2:12" x14ac:dyDescent="0.75">
      <c r="B73">
        <f t="shared" si="3"/>
        <v>6.4999999999999929</v>
      </c>
      <c r="C73">
        <v>2.95</v>
      </c>
      <c r="D73" s="1">
        <v>0.59299999999999997</v>
      </c>
      <c r="F73">
        <f>1-EXP(-D73*($J$1+$J$2*D73+$J$3*(B73-C73)+D73*(B73-C73)))</f>
        <v>0.96786465936208854</v>
      </c>
      <c r="G73">
        <f t="shared" ref="G73:G136" si="4">F73*(B73-C73)</f>
        <v>3.4359195407354073</v>
      </c>
      <c r="H73">
        <f>F73*(($J$1/D73)+$J$2+($J$3*(B73-C73))/D73)</f>
        <v>6.0261408129236598</v>
      </c>
      <c r="I73">
        <f>-F73*(1/(D73^2)) + (1/D73)*($J$1+$J$2*D73+$J$3*(B73-C73)+D73*(B73-C73))*(1-F73)</f>
        <v>-2.4381978070915924</v>
      </c>
      <c r="J73">
        <f t="shared" ref="J73:J136" si="5">H73+I73</f>
        <v>3.5879430058320674</v>
      </c>
      <c r="L73" s="3">
        <f t="shared" ref="L73:L136" si="6">J73/(G73+J73)</f>
        <v>0.51082192768499957</v>
      </c>
    </row>
    <row r="74" spans="2:12" x14ac:dyDescent="0.75">
      <c r="B74">
        <f t="shared" ref="B74:B137" si="7">B73+0.1</f>
        <v>6.5999999999999925</v>
      </c>
      <c r="C74">
        <v>2.99</v>
      </c>
      <c r="D74" s="1">
        <v>0.58499999999999996</v>
      </c>
      <c r="F74">
        <f>1-EXP(-D74*($J$1+$J$2*D74+$J$3*(B74-C74)+D74*(B74-C74)))</f>
        <v>0.96733434307772426</v>
      </c>
      <c r="G74">
        <f t="shared" si="4"/>
        <v>3.492076978510577</v>
      </c>
      <c r="H74">
        <f>F74*(($J$1/D74)+$J$2+($J$3*(B74-C74))/D74)</f>
        <v>6.1789514640951806</v>
      </c>
      <c r="I74">
        <f>-F74*(1/(D74^2)) + (1/D74)*($J$1+$J$2*D74+$J$3*(B74-C74)+D74*(B74-C74))*(1-F74)</f>
        <v>-2.5000249889648205</v>
      </c>
      <c r="J74">
        <f t="shared" si="5"/>
        <v>3.6789264751303601</v>
      </c>
      <c r="L74" s="3">
        <f t="shared" si="6"/>
        <v>0.51302812764125183</v>
      </c>
    </row>
    <row r="75" spans="2:12" x14ac:dyDescent="0.75">
      <c r="B75">
        <f t="shared" si="7"/>
        <v>6.6999999999999922</v>
      </c>
      <c r="C75">
        <v>3.03</v>
      </c>
      <c r="D75" s="1">
        <v>0.57799999999999996</v>
      </c>
      <c r="F75">
        <f>1-EXP(-D75*($J$1+$J$2*D75+$J$3*(B75-C75)+D75*(B75-C75)))</f>
        <v>0.9670161582048189</v>
      </c>
      <c r="G75">
        <f t="shared" si="4"/>
        <v>3.5489493006116781</v>
      </c>
      <c r="H75">
        <f>F75*(($J$1/D75)+$J$2+($J$3*(B75-C75))/D75)</f>
        <v>6.3264271637295799</v>
      </c>
      <c r="I75">
        <f>-F75*(1/(D75^2)) + (1/D75)*($J$1+$J$2*D75+$J$3*(B75-C75)+D75*(B75-C75))*(1-F75)</f>
        <v>-2.5576919245393657</v>
      </c>
      <c r="J75">
        <f t="shared" si="5"/>
        <v>3.7687352391902142</v>
      </c>
      <c r="L75" s="3">
        <f t="shared" si="6"/>
        <v>0.51501745103817276</v>
      </c>
    </row>
    <row r="76" spans="2:12" x14ac:dyDescent="0.75">
      <c r="B76">
        <f t="shared" si="7"/>
        <v>6.7999999999999918</v>
      </c>
      <c r="C76">
        <v>3.07</v>
      </c>
      <c r="D76" s="1">
        <v>0.57099999999999995</v>
      </c>
      <c r="F76">
        <f>1-EXP(-D76*($J$1+$J$2*D76+$J$3*(B76-C76)+D76*(B76-C76)))</f>
        <v>0.96665366741054348</v>
      </c>
      <c r="G76">
        <f t="shared" si="4"/>
        <v>3.6056181794413193</v>
      </c>
      <c r="H76">
        <f>F76*(($J$1/D76)+$J$2+($J$3*(B76-C76))/D76)</f>
        <v>6.4771720914117425</v>
      </c>
      <c r="I76">
        <f>-F76*(1/(D76^2)) + (1/D76)*($J$1+$J$2*D76+$J$3*(B76-C76)+D76*(B76-C76))*(1-F76)</f>
        <v>-2.6169997334990143</v>
      </c>
      <c r="J76">
        <f t="shared" si="5"/>
        <v>3.8601723579127283</v>
      </c>
      <c r="L76" s="3">
        <f t="shared" si="6"/>
        <v>0.51704803913247921</v>
      </c>
    </row>
    <row r="77" spans="2:12" x14ac:dyDescent="0.75">
      <c r="B77">
        <f t="shared" si="7"/>
        <v>6.8999999999999915</v>
      </c>
      <c r="C77">
        <v>3.11</v>
      </c>
      <c r="D77" s="1">
        <v>0.56399999999999995</v>
      </c>
      <c r="F77">
        <f>1-EXP(-D77*($J$1+$J$2*D77+$J$3*(B77-C77)+D77*(B77-C77)))</f>
        <v>0.96624607729090584</v>
      </c>
      <c r="G77">
        <f t="shared" si="4"/>
        <v>3.6620726329325248</v>
      </c>
      <c r="H77">
        <f>F77*(($J$1/D77)+$J$2+($J$3*(B77-C77))/D77)</f>
        <v>6.6312920059750056</v>
      </c>
      <c r="I77">
        <f>-F77*(1/(D77^2)) + (1/D77)*($J$1+$J$2*D77+$J$3*(B77-C77)+D77*(B77-C77))*(1-F77)</f>
        <v>-2.6780140444043372</v>
      </c>
      <c r="J77">
        <f t="shared" si="5"/>
        <v>3.9532779615706684</v>
      </c>
      <c r="L77" s="3">
        <f t="shared" si="6"/>
        <v>0.51911962719407412</v>
      </c>
    </row>
    <row r="78" spans="2:12" x14ac:dyDescent="0.75">
      <c r="B78">
        <f t="shared" si="7"/>
        <v>6.9999999999999911</v>
      </c>
      <c r="C78">
        <v>3.15</v>
      </c>
      <c r="D78" s="1">
        <v>0.55700000000000005</v>
      </c>
      <c r="F78">
        <f>1-EXP(-D78*($J$1+$J$2*D78+$J$3*(B78-C78)+D78*(B78-C78)))</f>
        <v>0.96579243977044893</v>
      </c>
      <c r="G78">
        <f t="shared" si="4"/>
        <v>3.7183008931162198</v>
      </c>
      <c r="H78">
        <f>F78*(($J$1/D78)+$J$2+($J$3*(B78-C78))/D78)</f>
        <v>6.7888966410327125</v>
      </c>
      <c r="I78">
        <f>-F78*(1/(D78^2)) + (1/D78)*($J$1+$J$2*D78+$J$3*(B78-C78)+D78*(B78-C78))*(1-F78)</f>
        <v>-2.7408029277858343</v>
      </c>
      <c r="J78">
        <f t="shared" si="5"/>
        <v>4.0480937132468782</v>
      </c>
      <c r="L78" s="3">
        <f t="shared" si="6"/>
        <v>0.5212320411752227</v>
      </c>
    </row>
    <row r="79" spans="2:12" x14ac:dyDescent="0.75">
      <c r="B79">
        <f t="shared" si="7"/>
        <v>7.0999999999999908</v>
      </c>
      <c r="C79">
        <v>3.19</v>
      </c>
      <c r="D79" s="1">
        <v>0.55100000000000005</v>
      </c>
      <c r="F79">
        <f>1-EXP(-D79*($J$1+$J$2*D79+$J$3*(B79-C79)+D79*(B79-C79)))</f>
        <v>0.96557827798632478</v>
      </c>
      <c r="G79">
        <f t="shared" si="4"/>
        <v>3.7754110669265208</v>
      </c>
      <c r="H79">
        <f>F79*(($J$1/D79)+$J$2+($J$3*(B79-C79))/D79)</f>
        <v>6.9396338652263863</v>
      </c>
      <c r="I79">
        <f>-F79*(1/(D79^2)) + (1/D79)*($J$1+$J$2*D79+$J$3*(B79-C79)+D79*(B79-C79))*(1-F79)</f>
        <v>-2.7984399736261936</v>
      </c>
      <c r="J79">
        <f t="shared" si="5"/>
        <v>4.1411938916001922</v>
      </c>
      <c r="L79" s="3">
        <f t="shared" si="6"/>
        <v>0.52310225321270443</v>
      </c>
    </row>
    <row r="80" spans="2:12" x14ac:dyDescent="0.75">
      <c r="B80">
        <f t="shared" si="7"/>
        <v>7.1999999999999904</v>
      </c>
      <c r="C80">
        <v>3.23</v>
      </c>
      <c r="D80" s="1">
        <v>0.54400000000000004</v>
      </c>
      <c r="F80">
        <f>1-EXP(-D80*($J$1+$J$2*D80+$J$3*(B80-C80)+D80*(B80-C80)))</f>
        <v>0.96503552454706831</v>
      </c>
      <c r="G80">
        <f t="shared" si="4"/>
        <v>3.8311910324518519</v>
      </c>
      <c r="H80">
        <f>F80*(($J$1/D80)+$J$2+($J$3*(B80-C80))/D80)</f>
        <v>7.1041870682971284</v>
      </c>
      <c r="I80">
        <f>-F80*(1/(D80^2)) + (1/D80)*($J$1+$J$2*D80+$J$3*(B80-C80)+D80*(B80-C80))*(1-F80)</f>
        <v>-2.8647574413735573</v>
      </c>
      <c r="J80">
        <f t="shared" si="5"/>
        <v>4.2394296269235712</v>
      </c>
      <c r="L80" s="3">
        <f t="shared" si="6"/>
        <v>0.5252916480467632</v>
      </c>
    </row>
    <row r="81" spans="2:12" x14ac:dyDescent="0.75">
      <c r="B81">
        <f t="shared" si="7"/>
        <v>7.2999999999999901</v>
      </c>
      <c r="C81">
        <v>3.27</v>
      </c>
      <c r="D81" s="1">
        <v>0.53800000000000003</v>
      </c>
      <c r="F81">
        <f>1-EXP(-D81*($J$1+$J$2*D81+$J$3*(B81-C81)+D81*(B81-C81)))</f>
        <v>0.96474107252193009</v>
      </c>
      <c r="G81">
        <f t="shared" si="4"/>
        <v>3.8879065222633691</v>
      </c>
      <c r="H81">
        <f>F81*(($J$1/D81)+$J$2+($J$3*(B81-C81))/D81)</f>
        <v>7.2613801097960904</v>
      </c>
      <c r="I81">
        <f>-F81*(1/(D81^2)) + (1/D81)*($J$1+$J$2*D81+$J$3*(B81-C81)+D81*(B81-C81))*(1-F81)</f>
        <v>-2.9256045122778671</v>
      </c>
      <c r="J81">
        <f t="shared" si="5"/>
        <v>4.3357755975182233</v>
      </c>
      <c r="L81" s="3">
        <f t="shared" si="6"/>
        <v>0.52723044669841568</v>
      </c>
    </row>
    <row r="82" spans="2:12" x14ac:dyDescent="0.75">
      <c r="B82">
        <f t="shared" si="7"/>
        <v>7.3999999999999897</v>
      </c>
      <c r="C82">
        <v>3.31</v>
      </c>
      <c r="D82" s="1">
        <v>0.53200000000000003</v>
      </c>
      <c r="F82">
        <f>1-EXP(-D82*($J$1+$J$2*D82+$J$3*(B82-C82)+D82*(B82-C82)))</f>
        <v>0.96440782113272316</v>
      </c>
      <c r="G82">
        <f t="shared" si="4"/>
        <v>3.9444279884328273</v>
      </c>
      <c r="H82">
        <f>F82*(($J$1/D82)+$J$2+($J$3*(B82-C82))/D82)</f>
        <v>7.4217707904125447</v>
      </c>
      <c r="I82">
        <f>-F82*(1/(D82^2)) + (1/D82)*($J$1+$J$2*D82+$J$3*(B82-C82)+D82*(B82-C82))*(1-F82)</f>
        <v>-2.9880345988914829</v>
      </c>
      <c r="J82">
        <f t="shared" si="5"/>
        <v>4.4337361915210618</v>
      </c>
      <c r="L82" s="3">
        <f t="shared" si="6"/>
        <v>0.52920139738124161</v>
      </c>
    </row>
    <row r="83" spans="2:12" x14ac:dyDescent="0.75">
      <c r="B83">
        <f t="shared" si="7"/>
        <v>7.4999999999999893</v>
      </c>
      <c r="C83">
        <v>3.35</v>
      </c>
      <c r="D83" s="1">
        <v>0.52600000000000002</v>
      </c>
      <c r="F83">
        <f>1-EXP(-D83*($J$1+$J$2*D83+$J$3*(B83-C83)+D83*(B83-C83)))</f>
        <v>0.96403518573490699</v>
      </c>
      <c r="G83">
        <f t="shared" si="4"/>
        <v>4.0007460207998538</v>
      </c>
      <c r="H83">
        <f>F83*(($J$1/D83)+$J$2+($J$3*(B83-C83))/D83)</f>
        <v>7.585454043193204</v>
      </c>
      <c r="I83">
        <f>-F83*(1/(D83^2)) + (1/D83)*($J$1+$J$2*D83+$J$3*(B83-C83)+D83*(B83-C83))*(1-F83)</f>
        <v>-3.0521059818714207</v>
      </c>
      <c r="J83">
        <f t="shared" si="5"/>
        <v>4.5333480613217834</v>
      </c>
      <c r="L83" s="3">
        <f t="shared" si="6"/>
        <v>0.531204368934583</v>
      </c>
    </row>
    <row r="84" spans="2:12" x14ac:dyDescent="0.75">
      <c r="B84">
        <f t="shared" si="7"/>
        <v>7.599999999999989</v>
      </c>
      <c r="C84">
        <v>3.38</v>
      </c>
      <c r="D84" s="1">
        <v>0.51900000000000002</v>
      </c>
      <c r="F84">
        <f>1-EXP(-D84*($J$1+$J$2*D84+$J$3*(B84-C84)+D84*(B84-C84)))</f>
        <v>0.96354973207228878</v>
      </c>
      <c r="G84">
        <f t="shared" si="4"/>
        <v>4.0661798693450484</v>
      </c>
      <c r="H84">
        <f>F84*(($J$1/D84)+$J$2+($J$3*(B84-C84))/D84)</f>
        <v>7.780710500247304</v>
      </c>
      <c r="I84">
        <f>-F84*(1/(D84^2)) + (1/D84)*($J$1+$J$2*D84+$J$3*(B84-C84)+D84*(B84-C84))*(1-F84)</f>
        <v>-3.1290108772838736</v>
      </c>
      <c r="J84">
        <f t="shared" si="5"/>
        <v>4.6516996229634309</v>
      </c>
      <c r="L84" s="3">
        <f t="shared" si="6"/>
        <v>0.53358154664416779</v>
      </c>
    </row>
    <row r="85" spans="2:12" x14ac:dyDescent="0.75">
      <c r="B85">
        <f t="shared" si="7"/>
        <v>7.6999999999999886</v>
      </c>
      <c r="C85">
        <v>3.42</v>
      </c>
      <c r="D85" s="1">
        <v>0.51300000000000001</v>
      </c>
      <c r="F85">
        <f>1-EXP(-D85*($J$1+$J$2*D85+$J$3*(B85-C85)+D85*(B85-C85)))</f>
        <v>0.96308922517935336</v>
      </c>
      <c r="G85">
        <f t="shared" si="4"/>
        <v>4.1220218837676219</v>
      </c>
      <c r="H85">
        <f>F85*(($J$1/D85)+$J$2+($J$3*(B85-C85))/D85)</f>
        <v>7.9518691552259648</v>
      </c>
      <c r="I85">
        <f>-F85*(1/(D85^2)) + (1/D85)*($J$1+$J$2*D85+$J$3*(B85-C85)+D85*(B85-C85))*(1-F85)</f>
        <v>-3.1968479798922513</v>
      </c>
      <c r="J85">
        <f t="shared" si="5"/>
        <v>4.755021175333713</v>
      </c>
      <c r="L85" s="3">
        <f t="shared" si="6"/>
        <v>0.53565372429488767</v>
      </c>
    </row>
    <row r="86" spans="2:12" x14ac:dyDescent="0.75">
      <c r="B86">
        <f t="shared" si="7"/>
        <v>7.7999999999999883</v>
      </c>
      <c r="C86">
        <v>3.46</v>
      </c>
      <c r="D86" s="1">
        <v>0.50700000000000001</v>
      </c>
      <c r="F86">
        <f>1-EXP(-D86*($J$1+$J$2*D86+$J$3*(B86-C86)+D86*(B86-C86)))</f>
        <v>0.9625867406755525</v>
      </c>
      <c r="G86">
        <f t="shared" si="4"/>
        <v>4.1776264545318869</v>
      </c>
      <c r="H86">
        <f>F86*(($J$1/D86)+$J$2+($J$3*(B86-C86))/D86)</f>
        <v>8.1266433046362767</v>
      </c>
      <c r="I86">
        <f>-F86*(1/(D86^2)) + (1/D86)*($J$1+$J$2*D86+$J$3*(B86-C86)+D86*(B86-C86))*(1-F86)</f>
        <v>-3.2665245459036107</v>
      </c>
      <c r="J86">
        <f t="shared" si="5"/>
        <v>4.860118758732666</v>
      </c>
      <c r="L86" s="3">
        <f t="shared" si="6"/>
        <v>0.53775788584961959</v>
      </c>
    </row>
    <row r="87" spans="2:12" x14ac:dyDescent="0.75">
      <c r="B87">
        <f t="shared" si="7"/>
        <v>7.8999999999999879</v>
      </c>
      <c r="C87">
        <v>3.5</v>
      </c>
      <c r="D87" s="1">
        <v>0.502</v>
      </c>
      <c r="F87">
        <f>1-EXP(-D87*($J$1+$J$2*D87+$J$3*(B87-C87)+D87*(B87-C87)))</f>
        <v>0.96237241296983367</v>
      </c>
      <c r="G87">
        <f t="shared" si="4"/>
        <v>4.2344386170672568</v>
      </c>
      <c r="H87">
        <f>F87*(($J$1/D87)+$J$2+($J$3*(B87-C87))/D87)</f>
        <v>8.291547656047447</v>
      </c>
      <c r="I87">
        <f>-F87*(1/(D87^2)) + (1/D87)*($J$1+$J$2*D87+$J$3*(B87-C87)+D87*(B87-C87))*(1-F87)</f>
        <v>-3.3291267509239506</v>
      </c>
      <c r="J87">
        <f t="shared" si="5"/>
        <v>4.962420905123496</v>
      </c>
      <c r="L87" s="3">
        <f t="shared" si="6"/>
        <v>0.53957776490440668</v>
      </c>
    </row>
    <row r="88" spans="2:12" x14ac:dyDescent="0.75">
      <c r="B88">
        <f t="shared" si="7"/>
        <v>7.9999999999999876</v>
      </c>
      <c r="C88">
        <v>3.54</v>
      </c>
      <c r="D88" s="1">
        <v>0.496</v>
      </c>
      <c r="F88">
        <f>1-EXP(-D88*($J$1+$J$2*D88+$J$3*(B88-C88)+D88*(B88-C88)))</f>
        <v>0.9617897761833778</v>
      </c>
      <c r="G88">
        <f t="shared" si="4"/>
        <v>4.289582401777853</v>
      </c>
      <c r="H88">
        <f>F88*(($J$1/D88)+$J$2+($J$3*(B88-C88))/D88)</f>
        <v>8.4734454918671673</v>
      </c>
      <c r="I88">
        <f>-F88*(1/(D88^2)) + (1/D88)*($J$1+$J$2*D88+$J$3*(B88-C88)+D88*(B88-C88))*(1-F88)</f>
        <v>-3.4024075119762909</v>
      </c>
      <c r="J88">
        <f t="shared" si="5"/>
        <v>5.0710379798908765</v>
      </c>
      <c r="L88" s="3">
        <f t="shared" si="6"/>
        <v>0.54174165526696172</v>
      </c>
    </row>
    <row r="89" spans="2:12" x14ac:dyDescent="0.75">
      <c r="B89">
        <f t="shared" si="7"/>
        <v>8.0999999999999872</v>
      </c>
      <c r="C89">
        <v>3.58</v>
      </c>
      <c r="D89" s="1">
        <v>0.49099999999999999</v>
      </c>
      <c r="F89">
        <f>1-EXP(-D89*($J$1+$J$2*D89+$J$3*(B89-C89)+D89*(B89-C89)))</f>
        <v>0.96150512525282039</v>
      </c>
      <c r="G89">
        <f t="shared" si="4"/>
        <v>4.3460031661427356</v>
      </c>
      <c r="H89">
        <f>F89*(($J$1/D89)+$J$2+($J$3*(B89-C89))/D89)</f>
        <v>8.6448318751218505</v>
      </c>
      <c r="I89">
        <f>-F89*(1/(D89^2)) + (1/D89)*($J$1+$J$2*D89+$J$3*(B89-C89)+D89*(B89-C89))*(1-F89)</f>
        <v>-3.4682055318998022</v>
      </c>
      <c r="J89">
        <f t="shared" si="5"/>
        <v>5.1766263432220487</v>
      </c>
      <c r="L89" s="3">
        <f t="shared" si="6"/>
        <v>0.54361312052844535</v>
      </c>
    </row>
    <row r="90" spans="2:12" x14ac:dyDescent="0.75">
      <c r="B90">
        <f t="shared" si="7"/>
        <v>8.1999999999999869</v>
      </c>
      <c r="C90">
        <v>3.62</v>
      </c>
      <c r="D90" s="1">
        <v>0.48599999999999999</v>
      </c>
      <c r="F90">
        <f>1-EXP(-D90*($J$1+$J$2*D90+$J$3*(B90-C90)+D90*(B90-C90)))</f>
        <v>0.96118690075799118</v>
      </c>
      <c r="G90">
        <f t="shared" si="4"/>
        <v>4.402236005471587</v>
      </c>
      <c r="H90">
        <f>F90*(($J$1/D90)+$J$2+($J$3*(B90-C90))/D90)</f>
        <v>8.8193842521607007</v>
      </c>
      <c r="I90">
        <f>-F90*(1/(D90^2)) + (1/D90)*($J$1+$J$2*D90+$J$3*(B90-C90)+D90*(B90-C90))*(1-F90)</f>
        <v>-3.5355519955025279</v>
      </c>
      <c r="J90">
        <f t="shared" si="5"/>
        <v>5.2838322566581724</v>
      </c>
      <c r="L90" s="3">
        <f t="shared" si="6"/>
        <v>0.54550846779768314</v>
      </c>
    </row>
    <row r="91" spans="2:12" x14ac:dyDescent="0.75">
      <c r="B91">
        <f t="shared" si="7"/>
        <v>8.2999999999999865</v>
      </c>
      <c r="C91">
        <v>3.66</v>
      </c>
      <c r="D91" s="1">
        <v>0.48099999999999998</v>
      </c>
      <c r="F91">
        <f>1-EXP(-D91*($J$1+$J$2*D91+$J$3*(B91-C91)+D91*(B91-C91)))</f>
        <v>0.9608346593349667</v>
      </c>
      <c r="G91">
        <f t="shared" si="4"/>
        <v>4.4582728193142325</v>
      </c>
      <c r="H91">
        <f>F91*(($J$1/D91)+$J$2+($J$3*(B91-C91))/D91)</f>
        <v>8.9971878323859595</v>
      </c>
      <c r="I91">
        <f>-F91*(1/(D91^2)) + (1/D91)*($J$1+$J$2*D91+$J$3*(B91-C91)+D91*(B91-C91))*(1-F91)</f>
        <v>-3.6044986024999162</v>
      </c>
      <c r="J91">
        <f t="shared" si="5"/>
        <v>5.3926892298860434</v>
      </c>
      <c r="L91" s="3">
        <f t="shared" si="6"/>
        <v>0.54742767284580429</v>
      </c>
    </row>
    <row r="92" spans="2:12" x14ac:dyDescent="0.75">
      <c r="B92">
        <f t="shared" si="7"/>
        <v>8.3999999999999861</v>
      </c>
      <c r="C92">
        <v>3.69</v>
      </c>
      <c r="D92" s="1">
        <v>0.47499999999999998</v>
      </c>
      <c r="F92">
        <f>1-EXP(-D92*($J$1+$J$2*D92+$J$3*(B92-C92)+D92*(B92-C92)))</f>
        <v>0.96032017869587971</v>
      </c>
      <c r="G92">
        <f t="shared" si="4"/>
        <v>4.5231080416575802</v>
      </c>
      <c r="H92">
        <f>F92*(($J$1/D92)+$J$2+($J$3*(B92-C92))/D92)</f>
        <v>9.2114922403854589</v>
      </c>
      <c r="I92">
        <f>-F92*(1/(D92^2)) + (1/D92)*($J$1+$J$2*D92+$J$3*(B92-C92)+D92*(B92-C92))*(1-F92)</f>
        <v>-3.6887617388669161</v>
      </c>
      <c r="J92">
        <f t="shared" si="5"/>
        <v>5.5227305015185433</v>
      </c>
      <c r="L92" s="3">
        <f t="shared" si="6"/>
        <v>0.54975306220404963</v>
      </c>
    </row>
    <row r="93" spans="2:12" x14ac:dyDescent="0.75">
      <c r="B93">
        <f t="shared" si="7"/>
        <v>8.4999999999999858</v>
      </c>
      <c r="C93">
        <v>3.73</v>
      </c>
      <c r="D93" s="1">
        <v>0.47</v>
      </c>
      <c r="F93">
        <f>1-EXP(-D93*($J$1+$J$2*D93+$J$3*(B93-C93)+D93*(B93-C93)))</f>
        <v>0.95989133968370721</v>
      </c>
      <c r="G93">
        <f t="shared" si="4"/>
        <v>4.578681690291269</v>
      </c>
      <c r="H93">
        <f>F93*(($J$1/D93)+$J$2+($J$3*(B93-C93))/D93)</f>
        <v>9.3967235189036717</v>
      </c>
      <c r="I93">
        <f>-F93*(1/(D93^2)) + (1/D93)*($J$1+$J$2*D93+$J$3*(B93-C93)+D93*(B93-C93))*(1-F93)</f>
        <v>-3.761409463082293</v>
      </c>
      <c r="J93">
        <f t="shared" si="5"/>
        <v>5.6353140558213788</v>
      </c>
      <c r="L93" s="3">
        <f t="shared" si="6"/>
        <v>0.55172473103546449</v>
      </c>
    </row>
    <row r="94" spans="2:12" x14ac:dyDescent="0.75">
      <c r="B94">
        <f t="shared" si="7"/>
        <v>8.5999999999999854</v>
      </c>
      <c r="C94">
        <v>3.77</v>
      </c>
      <c r="D94" s="1">
        <v>0.46500000000000002</v>
      </c>
      <c r="F94">
        <f>1-EXP(-D94*($J$1+$J$2*D94+$J$3*(B94-C94)+D94*(B94-C94)))</f>
        <v>0.95942651481575347</v>
      </c>
      <c r="G94">
        <f t="shared" si="4"/>
        <v>4.6340300665600758</v>
      </c>
      <c r="H94">
        <f>F94*(($J$1/D94)+$J$2+($J$3*(B94-C94))/D94)</f>
        <v>9.5854961961403795</v>
      </c>
      <c r="I94">
        <f>-F94*(1/(D94^2)) + (1/D94)*($J$1+$J$2*D94+$J$3*(B94-C94)+D94*(B94-C94))*(1-F94)</f>
        <v>-3.8358334187451373</v>
      </c>
      <c r="J94">
        <f t="shared" si="5"/>
        <v>5.7496627773952422</v>
      </c>
      <c r="L94" s="3">
        <f t="shared" si="6"/>
        <v>0.55372042141465172</v>
      </c>
    </row>
    <row r="95" spans="2:12" x14ac:dyDescent="0.75">
      <c r="B95">
        <f t="shared" si="7"/>
        <v>8.6999999999999851</v>
      </c>
      <c r="C95">
        <v>3.81</v>
      </c>
      <c r="D95" s="1">
        <v>0.46100000000000002</v>
      </c>
      <c r="F95">
        <f>1-EXP(-D95*($J$1+$J$2*D95+$J$3*(B95-C95)+D95*(B95-C95)))</f>
        <v>0.95930179293658979</v>
      </c>
      <c r="G95">
        <f t="shared" si="4"/>
        <v>4.6909857674599094</v>
      </c>
      <c r="H95">
        <f>F95*(($J$1/D95)+$J$2+($J$3*(B95-C95))/D95)</f>
        <v>9.7606356287607579</v>
      </c>
      <c r="I95">
        <f>-F95*(1/(D95^2)) + (1/D95)*($J$1+$J$2*D95+$J$3*(B95-C95)+D95*(B95-C95))*(1-F95)</f>
        <v>-3.9008078433792943</v>
      </c>
      <c r="J95">
        <f t="shared" si="5"/>
        <v>5.859827785381464</v>
      </c>
      <c r="L95" s="3">
        <f t="shared" si="6"/>
        <v>0.55539108487073885</v>
      </c>
    </row>
    <row r="96" spans="2:12" x14ac:dyDescent="0.75">
      <c r="B96">
        <f t="shared" si="7"/>
        <v>8.7999999999999847</v>
      </c>
      <c r="C96">
        <v>3.85</v>
      </c>
      <c r="D96" s="1">
        <v>0.45600000000000002</v>
      </c>
      <c r="F96">
        <f>1-EXP(-D96*($J$1+$J$2*D96+$J$3*(B96-C96)+D96*(B96-C96)))</f>
        <v>0.95876962347506334</v>
      </c>
      <c r="G96">
        <f t="shared" si="4"/>
        <v>4.7459096362015494</v>
      </c>
      <c r="H96">
        <f>F96*(($J$1/D96)+$J$2+($J$3*(B96-C96))/D96)</f>
        <v>9.9562758728979315</v>
      </c>
      <c r="I96">
        <f>-F96*(1/(D96^2)) + (1/D96)*($J$1+$J$2*D96+$J$3*(B96-C96)+D96*(B96-C96))*(1-F96)</f>
        <v>-3.9786437629615898</v>
      </c>
      <c r="J96">
        <f t="shared" si="5"/>
        <v>5.9776321099363416</v>
      </c>
      <c r="L96" s="3">
        <f t="shared" si="6"/>
        <v>0.55743076787939028</v>
      </c>
    </row>
    <row r="97" spans="2:12" x14ac:dyDescent="0.75">
      <c r="B97">
        <f t="shared" si="7"/>
        <v>8.8999999999999844</v>
      </c>
      <c r="C97">
        <v>3.88</v>
      </c>
      <c r="D97" s="1">
        <v>0.45100000000000001</v>
      </c>
      <c r="F97">
        <f>1-EXP(-D97*($J$1+$J$2*D97+$J$3*(B97-C97)+D97*(B97-C97)))</f>
        <v>0.95842507550415779</v>
      </c>
      <c r="G97">
        <f t="shared" si="4"/>
        <v>4.811293879030857</v>
      </c>
      <c r="H97">
        <f>F97*(($J$1/D97)+$J$2+($J$3*(B97-C97))/D97)</f>
        <v>10.174075322017559</v>
      </c>
      <c r="I97">
        <f>-F97*(1/(D97^2)) + (1/D97)*($J$1+$J$2*D97+$J$3*(B97-C97)+D97*(B97-C97))*(1-F97)</f>
        <v>-4.0619568555052092</v>
      </c>
      <c r="J97">
        <f t="shared" si="5"/>
        <v>6.1121184665123502</v>
      </c>
      <c r="L97" s="3">
        <f t="shared" si="6"/>
        <v>0.55954295902837703</v>
      </c>
    </row>
    <row r="98" spans="2:12" x14ac:dyDescent="0.75">
      <c r="B98">
        <f t="shared" si="7"/>
        <v>8.999999999999984</v>
      </c>
      <c r="C98">
        <v>3.92</v>
      </c>
      <c r="D98" s="1">
        <v>0.44600000000000001</v>
      </c>
      <c r="F98">
        <f>1-EXP(-D98*($J$1+$J$2*D98+$J$3*(B98-C98)+D98*(B98-C98)))</f>
        <v>0.95781535893525915</v>
      </c>
      <c r="G98">
        <f t="shared" si="4"/>
        <v>4.8657020233911012</v>
      </c>
      <c r="H98">
        <f>F98*(($J$1/D98)+$J$2+($J$3*(B98-C98))/D98)</f>
        <v>10.377693181575877</v>
      </c>
      <c r="I98">
        <f>-F98*(1/(D98^2)) + (1/D98)*($J$1+$J$2*D98+$J$3*(B98-C98)+D98*(B98-C98))*(1-F98)</f>
        <v>-4.1438168851499082</v>
      </c>
      <c r="J98">
        <f t="shared" si="5"/>
        <v>6.2338762964259686</v>
      </c>
      <c r="L98" s="3">
        <f t="shared" si="6"/>
        <v>0.56163181310195109</v>
      </c>
    </row>
    <row r="99" spans="2:12" x14ac:dyDescent="0.75">
      <c r="B99">
        <f t="shared" si="7"/>
        <v>9.0999999999999837</v>
      </c>
      <c r="C99">
        <v>3.96</v>
      </c>
      <c r="D99" s="1">
        <v>0.442</v>
      </c>
      <c r="F99">
        <f>1-EXP(-D99*($J$1+$J$2*D99+$J$3*(B99-C99)+D99*(B99-C99)))</f>
        <v>0.9575678589380292</v>
      </c>
      <c r="G99">
        <f t="shared" si="4"/>
        <v>4.9218987949414545</v>
      </c>
      <c r="H99">
        <f>F99*(($J$1/D99)+$J$2+($J$3*(B99-C99))/D99)</f>
        <v>10.565959739426811</v>
      </c>
      <c r="I99">
        <f>-F99*(1/(D99^2)) + (1/D99)*($J$1+$J$2*D99+$J$3*(B99-C99)+D99*(B99-C99))*(1-F99)</f>
        <v>-4.2151506605431885</v>
      </c>
      <c r="J99">
        <f t="shared" si="5"/>
        <v>6.3508090788836222</v>
      </c>
      <c r="L99" s="3">
        <f t="shared" si="6"/>
        <v>0.56337919424223082</v>
      </c>
    </row>
    <row r="100" spans="2:12" x14ac:dyDescent="0.75">
      <c r="B100">
        <f t="shared" si="7"/>
        <v>9.1999999999999833</v>
      </c>
      <c r="C100">
        <v>4</v>
      </c>
      <c r="D100" s="1">
        <v>0.438</v>
      </c>
      <c r="F100">
        <f>1-EXP(-D100*($J$1+$J$2*D100+$J$3*(B100-C100)+D100*(B100-C100)))</f>
        <v>0.95729251152491324</v>
      </c>
      <c r="G100">
        <f t="shared" si="4"/>
        <v>4.9779210599295327</v>
      </c>
      <c r="H100">
        <f>F100*(($J$1/D100)+$J$2+($J$3*(B100-C100))/D100)</f>
        <v>10.757301398343513</v>
      </c>
      <c r="I100">
        <f>-F100*(1/(D100^2)) + (1/D100)*($J$1+$J$2*D100+$J$3*(B100-C100)+D100*(B100-C100))*(1-F100)</f>
        <v>-4.2879606806043249</v>
      </c>
      <c r="J100">
        <f t="shared" si="5"/>
        <v>6.469340717739188</v>
      </c>
      <c r="L100" s="3">
        <f t="shared" si="6"/>
        <v>0.56514307468355052</v>
      </c>
    </row>
    <row r="101" spans="2:12" x14ac:dyDescent="0.75">
      <c r="B101">
        <f t="shared" si="7"/>
        <v>9.2999999999999829</v>
      </c>
      <c r="C101">
        <v>4.04</v>
      </c>
      <c r="D101" s="1">
        <v>0.433</v>
      </c>
      <c r="F101">
        <f>1-EXP(-D101*($J$1+$J$2*D101+$J$3*(B101-C101)+D101*(B101-C101)))</f>
        <v>0.95657637321335987</v>
      </c>
      <c r="G101">
        <f t="shared" si="4"/>
        <v>5.0315917231022569</v>
      </c>
      <c r="H101">
        <f>F101*(($J$1/D101)+$J$2+($J$3*(B101-C101))/D101)</f>
        <v>10.972240286420602</v>
      </c>
      <c r="I101">
        <f>-F101*(1/(D101^2)) + (1/D101)*($J$1+$J$2*D101+$J$3*(B101-C101)+D101*(B101-C101))*(1-F101)</f>
        <v>-4.3755486607043625</v>
      </c>
      <c r="J101">
        <f t="shared" si="5"/>
        <v>6.5966916257162396</v>
      </c>
      <c r="L101" s="3">
        <f t="shared" si="6"/>
        <v>0.56729711753940903</v>
      </c>
    </row>
    <row r="102" spans="2:12" x14ac:dyDescent="0.75">
      <c r="B102">
        <f t="shared" si="7"/>
        <v>9.3999999999999826</v>
      </c>
      <c r="C102">
        <v>4.07</v>
      </c>
      <c r="D102" s="1">
        <v>0.42899999999999999</v>
      </c>
      <c r="F102">
        <f>1-EXP(-D102*($J$1+$J$2*D102+$J$3*(B102-C102)+D102*(B102-C102)))</f>
        <v>0.95645968898501721</v>
      </c>
      <c r="G102">
        <f t="shared" si="4"/>
        <v>5.0979301422901244</v>
      </c>
      <c r="H102">
        <f>F102*(($J$1/D102)+$J$2+($J$3*(B102-C102))/D102)</f>
        <v>11.189798032707087</v>
      </c>
      <c r="I102">
        <f>-F102*(1/(D102^2)) + (1/D102)*($J$1+$J$2*D102+$J$3*(B102-C102)+D102*(B102-C102))*(1-F102)</f>
        <v>-4.4555364839339484</v>
      </c>
      <c r="J102">
        <f t="shared" si="5"/>
        <v>6.7342615487731381</v>
      </c>
      <c r="L102" s="3">
        <f t="shared" si="6"/>
        <v>0.56914743477824647</v>
      </c>
    </row>
    <row r="103" spans="2:12" x14ac:dyDescent="0.75">
      <c r="B103">
        <f t="shared" si="7"/>
        <v>9.4999999999999822</v>
      </c>
      <c r="C103">
        <v>4.1100000000000003</v>
      </c>
      <c r="D103" s="1">
        <v>0.42499999999999999</v>
      </c>
      <c r="F103">
        <f>1-EXP(-D103*($J$1+$J$2*D103+$J$3*(B103-C103)+D103*(B103-C103)))</f>
        <v>0.95609216495514926</v>
      </c>
      <c r="G103">
        <f t="shared" si="4"/>
        <v>5.153336769108237</v>
      </c>
      <c r="H103">
        <f>F103*(($J$1/D103)+$J$2+($J$3*(B103-C103))/D103)</f>
        <v>11.391556941862644</v>
      </c>
      <c r="I103">
        <f>-F103*(1/(D103^2)) + (1/D103)*($J$1+$J$2*D103+$J$3*(B103-C103)+D103*(B103-C103))*(1-F103)</f>
        <v>-4.5334316484388868</v>
      </c>
      <c r="J103">
        <f t="shared" si="5"/>
        <v>6.8581252934237575</v>
      </c>
      <c r="L103" s="3">
        <f t="shared" si="6"/>
        <v>0.57096507133937346</v>
      </c>
    </row>
    <row r="104" spans="2:12" x14ac:dyDescent="0.75">
      <c r="B104">
        <f t="shared" si="7"/>
        <v>9.5999999999999819</v>
      </c>
      <c r="C104">
        <v>4.1500000000000004</v>
      </c>
      <c r="D104" s="1">
        <v>0.42099999999999999</v>
      </c>
      <c r="F104">
        <f>1-EXP(-D104*($J$1+$J$2*D104+$J$3*(B104-C104)+D104*(B104-C104)))</f>
        <v>0.95569523297798842</v>
      </c>
      <c r="G104">
        <f t="shared" si="4"/>
        <v>5.2085390197300194</v>
      </c>
      <c r="H104">
        <f>F104*(($J$1/D104)+$J$2+($J$3*(B104-C104))/D104)</f>
        <v>11.59671468510615</v>
      </c>
      <c r="I104">
        <f>-F104*(1/(D104^2)) + (1/D104)*($J$1+$J$2*D104+$J$3*(B104-C104)+D104*(B104-C104))*(1-F104)</f>
        <v>-4.6129970203105675</v>
      </c>
      <c r="J104">
        <f t="shared" si="5"/>
        <v>6.9837176647955825</v>
      </c>
      <c r="L104" s="3">
        <f t="shared" si="6"/>
        <v>0.57279942880954171</v>
      </c>
    </row>
    <row r="105" spans="2:12" x14ac:dyDescent="0.75">
      <c r="B105">
        <f t="shared" si="7"/>
        <v>9.6999999999999815</v>
      </c>
      <c r="C105">
        <v>4.1900000000000004</v>
      </c>
      <c r="D105" s="1">
        <v>0.41699999999999998</v>
      </c>
      <c r="F105">
        <f>1-EXP(-D105*($J$1+$J$2*D105+$J$3*(B105-C105)+D105*(B105-C105)))</f>
        <v>0.95526841109341254</v>
      </c>
      <c r="G105">
        <f t="shared" si="4"/>
        <v>5.2635289451246852</v>
      </c>
      <c r="H105">
        <f>F105*(($J$1/D105)+$J$2+($J$3*(B105-C105))/D105)</f>
        <v>11.805353636230754</v>
      </c>
      <c r="I105">
        <f>-F105*(1/(D105^2)) + (1/D105)*($J$1+$J$2*D105+$J$3*(B105-C105)+D105*(B105-C105))*(1-F105)</f>
        <v>-4.6942819516055501</v>
      </c>
      <c r="J105">
        <f t="shared" si="5"/>
        <v>7.1110716846252036</v>
      </c>
      <c r="L105" s="3">
        <f t="shared" si="6"/>
        <v>0.57465060064479268</v>
      </c>
    </row>
    <row r="106" spans="2:12" x14ac:dyDescent="0.75">
      <c r="B106">
        <f t="shared" si="7"/>
        <v>9.7999999999999812</v>
      </c>
      <c r="C106">
        <v>4.22</v>
      </c>
      <c r="D106" s="1">
        <v>0.41199999999999998</v>
      </c>
      <c r="F106">
        <f>1-EXP(-D106*($J$1+$J$2*D106+$J$3*(B106-C106)+D106*(B106-C106)))</f>
        <v>0.9545834507758264</v>
      </c>
      <c r="G106">
        <f t="shared" si="4"/>
        <v>5.3265756553290933</v>
      </c>
      <c r="H106">
        <f>F106*(($J$1/D106)+$J$2+($J$3*(B106-C106))/D106)</f>
        <v>12.061115561550071</v>
      </c>
      <c r="I106">
        <f>-F106*(1/(D106^2)) + (1/D106)*($J$1+$J$2*D106+$J$3*(B106-C106)+D106*(B106-C106))*(1-F106)</f>
        <v>-4.7964051082440156</v>
      </c>
      <c r="J106">
        <f t="shared" si="5"/>
        <v>7.2647104533060558</v>
      </c>
      <c r="L106" s="3">
        <f t="shared" si="6"/>
        <v>0.5769633372339853</v>
      </c>
    </row>
    <row r="107" spans="2:12" x14ac:dyDescent="0.75">
      <c r="B107">
        <f t="shared" si="7"/>
        <v>9.8999999999999808</v>
      </c>
      <c r="C107">
        <v>4.26</v>
      </c>
      <c r="D107" s="1">
        <v>0.40799999999999997</v>
      </c>
      <c r="F107">
        <f>1-EXP(-D107*($J$1+$J$2*D107+$J$3*(B107-C107)+D107*(B107-C107)))</f>
        <v>0.95408760523884251</v>
      </c>
      <c r="G107">
        <f t="shared" si="4"/>
        <v>5.3810540935470534</v>
      </c>
      <c r="H107">
        <f>F107*(($J$1/D107)+$J$2+($J$3*(B107-C107))/D107)</f>
        <v>12.277797947416682</v>
      </c>
      <c r="I107">
        <f>-F107*(1/(D107^2)) + (1/D107)*($J$1+$J$2*D107+$J$3*(B107-C107)+D107*(B107-C107))*(1-F107)</f>
        <v>-4.881719719493935</v>
      </c>
      <c r="J107">
        <f t="shared" si="5"/>
        <v>7.3960782279227466</v>
      </c>
      <c r="L107" s="3">
        <f t="shared" si="6"/>
        <v>0.57885275364135458</v>
      </c>
    </row>
    <row r="108" spans="2:12" x14ac:dyDescent="0.75">
      <c r="B108">
        <f t="shared" si="7"/>
        <v>9.9999999999999805</v>
      </c>
      <c r="C108">
        <v>4.3</v>
      </c>
      <c r="D108" s="1">
        <v>0.40500000000000003</v>
      </c>
      <c r="F108">
        <f>1-EXP(-D108*($J$1+$J$2*D108+$J$3*(B108-C108)+D108*(B108-C108)))</f>
        <v>0.95401862013572136</v>
      </c>
      <c r="G108">
        <f t="shared" si="4"/>
        <v>5.4379061347735931</v>
      </c>
      <c r="H108">
        <f>F108*(($J$1/D108)+$J$2+($J$3*(B108-C108))/D108)</f>
        <v>12.47349900808312</v>
      </c>
      <c r="I108">
        <f>-F108*(1/(D108^2)) + (1/D108)*($J$1+$J$2*D108+$J$3*(B108-C108)+D108*(B108-C108))*(1-F108)</f>
        <v>-4.9530138618674169</v>
      </c>
      <c r="J108">
        <f t="shared" si="5"/>
        <v>7.5204851462157034</v>
      </c>
      <c r="L108" s="3">
        <f t="shared" si="6"/>
        <v>0.5803563870809092</v>
      </c>
    </row>
    <row r="109" spans="2:12" x14ac:dyDescent="0.75">
      <c r="B109">
        <f t="shared" si="7"/>
        <v>10.09999999999998</v>
      </c>
      <c r="C109">
        <v>4.34</v>
      </c>
      <c r="D109" s="1">
        <v>0.40100000000000002</v>
      </c>
      <c r="F109">
        <f>1-EXP(-D109*($J$1+$J$2*D109+$J$3*(B109-C109)+D109*(B109-C109)))</f>
        <v>0.95346608186360904</v>
      </c>
      <c r="G109">
        <f t="shared" si="4"/>
        <v>5.4919646315343691</v>
      </c>
      <c r="H109">
        <f>F109*(($J$1/D109)+$J$2+($J$3*(B109-C109))/D109)</f>
        <v>12.697148504877184</v>
      </c>
      <c r="I109">
        <f>-F109*(1/(D109^2)) + (1/D109)*($J$1+$J$2*D109+$J$3*(B109-C109)+D109*(B109-C109))*(1-F109)</f>
        <v>-5.0417587783143913</v>
      </c>
      <c r="J109">
        <f t="shared" si="5"/>
        <v>7.6553897265627926</v>
      </c>
      <c r="L109" s="3">
        <f t="shared" si="6"/>
        <v>0.58227606239638696</v>
      </c>
    </row>
    <row r="110" spans="2:12" x14ac:dyDescent="0.75">
      <c r="B110">
        <f t="shared" si="7"/>
        <v>10.19999999999998</v>
      </c>
      <c r="C110">
        <v>4.37</v>
      </c>
      <c r="D110" s="1">
        <v>0.39700000000000002</v>
      </c>
      <c r="F110">
        <f>1-EXP(-D110*($J$1+$J$2*D110+$J$3*(B110-C110)+D110*(B110-C110)))</f>
        <v>0.95309464448669723</v>
      </c>
      <c r="G110">
        <f t="shared" si="4"/>
        <v>5.5565417773574257</v>
      </c>
      <c r="H110">
        <f>F110*(($J$1/D110)+$J$2+($J$3*(B110-C110))/D110)</f>
        <v>12.945642081102838</v>
      </c>
      <c r="I110">
        <f>-F110*(1/(D110^2)) + (1/D110)*($J$1+$J$2*D110+$J$3*(B110-C110)+D110*(B110-C110))*(1-F110)</f>
        <v>-5.1366477817559293</v>
      </c>
      <c r="J110">
        <f t="shared" si="5"/>
        <v>7.8089942993469084</v>
      </c>
      <c r="L110" s="3">
        <f t="shared" si="6"/>
        <v>0.58426345599094331</v>
      </c>
    </row>
    <row r="111" spans="2:12" x14ac:dyDescent="0.75">
      <c r="B111">
        <f t="shared" si="7"/>
        <v>10.299999999999979</v>
      </c>
      <c r="C111">
        <v>4.41</v>
      </c>
      <c r="D111" s="1">
        <v>0.39300000000000002</v>
      </c>
      <c r="F111">
        <f>1-EXP(-D111*($J$1+$J$2*D111+$J$3*(B111-C111)+D111*(B111-C111)))</f>
        <v>0.95247524567473629</v>
      </c>
      <c r="G111">
        <f t="shared" si="4"/>
        <v>5.6100791970241772</v>
      </c>
      <c r="H111">
        <f>F111*(($J$1/D111)+$J$2+($J$3*(B111-C111))/D111)</f>
        <v>13.177482905904268</v>
      </c>
      <c r="I111">
        <f>-F111*(1/(D111^2)) + (1/D111)*($J$1+$J$2*D111+$J$3*(B111-C111)+D111*(B111-C111))*(1-F111)</f>
        <v>-5.229498830746337</v>
      </c>
      <c r="J111">
        <f t="shared" si="5"/>
        <v>7.9479840751579314</v>
      </c>
      <c r="L111" s="3">
        <f t="shared" si="6"/>
        <v>0.58621824633797714</v>
      </c>
    </row>
    <row r="112" spans="2:12" x14ac:dyDescent="0.75">
      <c r="B112">
        <f t="shared" si="7"/>
        <v>10.399999999999979</v>
      </c>
      <c r="C112">
        <v>4.45</v>
      </c>
      <c r="D112" s="1">
        <v>0.39</v>
      </c>
      <c r="F112">
        <f>1-EXP(-D112*($J$1+$J$2*D112+$J$3*(B112-C112)+D112*(B112-C112)))</f>
        <v>0.95230720782747624</v>
      </c>
      <c r="G112">
        <f t="shared" si="4"/>
        <v>5.6662278865734637</v>
      </c>
      <c r="H112">
        <f>F112*(($J$1/D112)+$J$2+($J$3*(B112-C112))/D112)</f>
        <v>13.386020803359512</v>
      </c>
      <c r="I112">
        <f>-F112*(1/(D112^2)) + (1/D112)*($J$1+$J$2*D112+$J$3*(B112-C112)+D112*(B112-C112))*(1-F112)</f>
        <v>-5.3068983140453065</v>
      </c>
      <c r="J112">
        <f t="shared" si="5"/>
        <v>8.0791224893142051</v>
      </c>
      <c r="L112" s="3">
        <f t="shared" si="6"/>
        <v>0.58777130217697049</v>
      </c>
    </row>
    <row r="113" spans="2:12" x14ac:dyDescent="0.75">
      <c r="B113">
        <f t="shared" si="7"/>
        <v>10.499999999999979</v>
      </c>
      <c r="C113">
        <v>4.49</v>
      </c>
      <c r="D113" s="1">
        <v>0.38700000000000001</v>
      </c>
      <c r="F113">
        <f>1-EXP(-D113*($J$1+$J$2*D113+$J$3*(B113-C113)+D113*(B113-C113)))</f>
        <v>0.95211737810117647</v>
      </c>
      <c r="G113">
        <f t="shared" si="4"/>
        <v>5.7222254423880505</v>
      </c>
      <c r="H113">
        <f>F113*(($J$1/D113)+$J$2+($J$3*(B113-C113))/D113)</f>
        <v>13.597441682580031</v>
      </c>
      <c r="I113">
        <f>-F113*(1/(D113^2)) + (1/D113)*($J$1+$J$2*D113+$J$3*(B113-C113)+D113*(B113-C113))*(1-F113)</f>
        <v>-5.3856403110158331</v>
      </c>
      <c r="J113">
        <f t="shared" si="5"/>
        <v>8.2118013715641993</v>
      </c>
      <c r="L113" s="3">
        <f t="shared" si="6"/>
        <v>0.58933440284050964</v>
      </c>
    </row>
    <row r="114" spans="2:12" x14ac:dyDescent="0.75">
      <c r="B114">
        <f t="shared" si="7"/>
        <v>10.599999999999978</v>
      </c>
      <c r="C114">
        <v>4.5199999999999996</v>
      </c>
      <c r="D114" s="1">
        <v>0.38300000000000001</v>
      </c>
      <c r="F114">
        <f>1-EXP(-D114*($J$1+$J$2*D114+$J$3*(B114-C114)+D114*(B114-C114)))</f>
        <v>0.95162071583484731</v>
      </c>
      <c r="G114">
        <f t="shared" si="4"/>
        <v>5.7858539522758514</v>
      </c>
      <c r="H114">
        <f>F114*(($J$1/D114)+$J$2+($J$3*(B114-C114))/D114)</f>
        <v>13.862231636422909</v>
      </c>
      <c r="I114">
        <f>-F114*(1/(D114^2)) + (1/D114)*($J$1+$J$2*D114+$J$3*(B114-C114)+D114*(B114-C114))*(1-F114)</f>
        <v>-5.4884495276093546</v>
      </c>
      <c r="J114">
        <f t="shared" si="5"/>
        <v>8.373782108813554</v>
      </c>
      <c r="L114" s="3">
        <f t="shared" si="6"/>
        <v>0.5913839926878246</v>
      </c>
    </row>
    <row r="115" spans="2:12" x14ac:dyDescent="0.75">
      <c r="B115">
        <f t="shared" si="7"/>
        <v>10.699999999999978</v>
      </c>
      <c r="C115">
        <v>4.5599999999999996</v>
      </c>
      <c r="D115" s="1">
        <v>0.379</v>
      </c>
      <c r="F115">
        <f>1-EXP(-D115*($J$1+$J$2*D115+$J$3*(B115-C115)+D115*(B115-C115)))</f>
        <v>0.95087723912577615</v>
      </c>
      <c r="G115">
        <f t="shared" si="4"/>
        <v>5.8383862482322453</v>
      </c>
      <c r="H115">
        <f>F115*(($J$1/D115)+$J$2+($J$3*(B115-C115))/D115)</f>
        <v>14.109989575148795</v>
      </c>
      <c r="I115">
        <f>-F115*(1/(D115^2)) + (1/D115)*($J$1+$J$2*D115+$J$3*(B115-C115)+D115*(B115-C115))*(1-F115)</f>
        <v>-5.5892753515504729</v>
      </c>
      <c r="J115">
        <f t="shared" si="5"/>
        <v>8.520714223598322</v>
      </c>
      <c r="L115" s="3">
        <f t="shared" si="6"/>
        <v>0.59340167166558311</v>
      </c>
    </row>
    <row r="116" spans="2:12" x14ac:dyDescent="0.75">
      <c r="B116">
        <f t="shared" si="7"/>
        <v>10.799999999999978</v>
      </c>
      <c r="C116">
        <v>4.5999999999999996</v>
      </c>
      <c r="D116" s="1">
        <v>0.376</v>
      </c>
      <c r="F116">
        <f>1-EXP(-D116*($J$1+$J$2*D116+$J$3*(B116-C116)+D116*(B116-C116)))</f>
        <v>0.95060963923290387</v>
      </c>
      <c r="G116">
        <f t="shared" si="4"/>
        <v>5.893779763243983</v>
      </c>
      <c r="H116">
        <f>F116*(($J$1/D116)+$J$2+($J$3*(B116-C116))/D116)</f>
        <v>14.331957241711356</v>
      </c>
      <c r="I116">
        <f>-F116*(1/(D116^2)) + (1/D116)*($J$1+$J$2*D116+$J$3*(B116-C116)+D116*(B116-C116))*(1-F116)</f>
        <v>-5.6731229773474938</v>
      </c>
      <c r="J116">
        <f t="shared" si="5"/>
        <v>8.6588342643638612</v>
      </c>
      <c r="L116" s="3">
        <f t="shared" si="6"/>
        <v>0.59500198713008801</v>
      </c>
    </row>
    <row r="117" spans="2:12" x14ac:dyDescent="0.75">
      <c r="B117">
        <f t="shared" si="7"/>
        <v>10.899999999999977</v>
      </c>
      <c r="C117">
        <v>4.6399999999999997</v>
      </c>
      <c r="D117" s="1">
        <v>0.373</v>
      </c>
      <c r="F117">
        <f>1-EXP(-D117*($J$1+$J$2*D117+$J$3*(B117-C117)+D117*(B117-C117)))</f>
        <v>0.95031931185982221</v>
      </c>
      <c r="G117">
        <f t="shared" si="4"/>
        <v>5.9489988922424661</v>
      </c>
      <c r="H117">
        <f>F117*(($J$1/D117)+$J$2+($J$3*(B117-C117))/D117)</f>
        <v>14.557082938895061</v>
      </c>
      <c r="I117">
        <f>-F117*(1/(D117^2)) + (1/D117)*($J$1+$J$2*D117+$J$3*(B117-C117)+D117*(B117-C117))*(1-F117)</f>
        <v>-5.7584758098179698</v>
      </c>
      <c r="J117">
        <f t="shared" si="5"/>
        <v>8.7986071290770909</v>
      </c>
      <c r="L117" s="3">
        <f t="shared" si="6"/>
        <v>0.59661256995593559</v>
      </c>
    </row>
    <row r="118" spans="2:12" x14ac:dyDescent="0.75">
      <c r="B118">
        <f t="shared" si="7"/>
        <v>10.999999999999977</v>
      </c>
      <c r="C118">
        <v>4.67</v>
      </c>
      <c r="D118" s="1">
        <v>0.36899999999999999</v>
      </c>
      <c r="F118">
        <f>1-EXP(-D118*($J$1+$J$2*D118+$J$3*(B118-C118)+D118*(B118-C118)))</f>
        <v>0.94968915808132104</v>
      </c>
      <c r="G118">
        <f t="shared" si="4"/>
        <v>6.0115323706547406</v>
      </c>
      <c r="H118">
        <f>F118*(($J$1/D118)+$J$2+($J$3*(B118-C118))/D118)</f>
        <v>14.839729542111048</v>
      </c>
      <c r="I118">
        <f>-F118*(1/(D118^2)) + (1/D118)*($J$1+$J$2*D118+$J$3*(B118-C118)+D118*(B118-C118))*(1-F118)</f>
        <v>-5.8701327941586285</v>
      </c>
      <c r="J118">
        <f t="shared" si="5"/>
        <v>8.9695967479524192</v>
      </c>
      <c r="L118" s="3">
        <f t="shared" si="6"/>
        <v>0.59872634945865477</v>
      </c>
    </row>
    <row r="119" spans="2:12" x14ac:dyDescent="0.75">
      <c r="B119">
        <f t="shared" si="7"/>
        <v>11.099999999999977</v>
      </c>
      <c r="C119">
        <v>4.71</v>
      </c>
      <c r="D119" s="1">
        <v>0.36599999999999999</v>
      </c>
      <c r="F119">
        <f>1-EXP(-D119*($J$1+$J$2*D119+$J$3*(B119-C119)+D119*(B119-C119)))</f>
        <v>0.94934572453980082</v>
      </c>
      <c r="G119">
        <f t="shared" si="4"/>
        <v>6.0663191798093052</v>
      </c>
      <c r="H119">
        <f>F119*(($J$1/D119)+$J$2+($J$3*(B119-C119))/D119)</f>
        <v>15.07228998949688</v>
      </c>
      <c r="I119">
        <f>-F119*(1/(D119^2)) + (1/D119)*($J$1+$J$2*D119+$J$3*(B119-C119)+D119*(B119-C119))*(1-F119)</f>
        <v>-5.9591030967137693</v>
      </c>
      <c r="J119">
        <f t="shared" si="5"/>
        <v>9.1131868927831121</v>
      </c>
      <c r="L119" s="3">
        <f t="shared" si="6"/>
        <v>0.60036122711776252</v>
      </c>
    </row>
    <row r="120" spans="2:12" x14ac:dyDescent="0.75">
      <c r="B120">
        <f t="shared" si="7"/>
        <v>11.199999999999976</v>
      </c>
      <c r="C120">
        <v>4.75</v>
      </c>
      <c r="D120" s="1">
        <v>0.36299999999999999</v>
      </c>
      <c r="F120">
        <f>1-EXP(-D120*($J$1+$J$2*D120+$J$3*(B120-C120)+D120*(B120-C120)))</f>
        <v>0.9489786445709778</v>
      </c>
      <c r="G120">
        <f t="shared" si="4"/>
        <v>6.1209122574827841</v>
      </c>
      <c r="H120">
        <f>F120*(($J$1/D120)+$J$2+($J$3*(B120-C120))/D120)</f>
        <v>15.308228099399532</v>
      </c>
      <c r="I120">
        <f>-F120*(1/(D120^2)) + (1/D120)*($J$1+$J$2*D120+$J$3*(B120-C120)+D120*(B120-C120))*(1-F120)</f>
        <v>-6.0497085069858088</v>
      </c>
      <c r="J120">
        <f t="shared" si="5"/>
        <v>9.2585195924137231</v>
      </c>
      <c r="L120" s="3">
        <f t="shared" si="6"/>
        <v>0.6020066074466871</v>
      </c>
    </row>
    <row r="121" spans="2:12" x14ac:dyDescent="0.75">
      <c r="B121">
        <f t="shared" si="7"/>
        <v>11.299999999999976</v>
      </c>
      <c r="C121">
        <v>4.78</v>
      </c>
      <c r="D121" s="1">
        <v>0.36</v>
      </c>
      <c r="F121">
        <f>1-EXP(-D121*($J$1+$J$2*D121+$J$3*(B121-C121)+D121*(B121-C121)))</f>
        <v>0.948792639627839</v>
      </c>
      <c r="G121">
        <f t="shared" si="4"/>
        <v>6.186128010373487</v>
      </c>
      <c r="H121">
        <f>F121*(($J$1/D121)+$J$2+($J$3*(B121-C121))/D121)</f>
        <v>15.570741430336822</v>
      </c>
      <c r="I121">
        <f>-F121*(1/(D121^2)) + (1/D121)*($J$1+$J$2*D121+$J$3*(B121-C121)+D121*(B121-C121))*(1-F121)</f>
        <v>-6.1466891909251906</v>
      </c>
      <c r="J121">
        <f t="shared" si="5"/>
        <v>9.4240522394116315</v>
      </c>
      <c r="L121" s="3">
        <f t="shared" si="6"/>
        <v>0.6037119423743591</v>
      </c>
    </row>
    <row r="122" spans="2:12" x14ac:dyDescent="0.75">
      <c r="B122">
        <f t="shared" si="7"/>
        <v>11.399999999999975</v>
      </c>
      <c r="C122">
        <v>4.82</v>
      </c>
      <c r="D122" s="1">
        <v>0.35699999999999998</v>
      </c>
      <c r="F122">
        <f>1-EXP(-D122*($J$1+$J$2*D122+$J$3*(B122-C122)+D122*(B122-C122)))</f>
        <v>0.948376685131185</v>
      </c>
      <c r="G122">
        <f t="shared" si="4"/>
        <v>6.2403185881631735</v>
      </c>
      <c r="H122">
        <f>F122*(($J$1/D122)+$J$2+($J$3*(B122-C122))/D122)</f>
        <v>15.813849159896799</v>
      </c>
      <c r="I122">
        <f>-F122*(1/(D122^2)) + (1/D122)*($J$1+$J$2*D122+$J$3*(B122-C122)+D122*(B122-C122))*(1-F122)</f>
        <v>-6.2407428889492298</v>
      </c>
      <c r="J122">
        <f t="shared" si="5"/>
        <v>9.5731062709475694</v>
      </c>
      <c r="L122" s="3">
        <f t="shared" si="6"/>
        <v>0.60537842726916447</v>
      </c>
    </row>
    <row r="123" spans="2:12" x14ac:dyDescent="0.75">
      <c r="B123">
        <f t="shared" si="7"/>
        <v>11.499999999999975</v>
      </c>
      <c r="C123">
        <v>4.8600000000000003</v>
      </c>
      <c r="D123" s="1">
        <v>0.35399999999999998</v>
      </c>
      <c r="F123">
        <f>1-EXP(-D123*($J$1+$J$2*D123+$J$3*(B123-C123)+D123*(B123-C123)))</f>
        <v>0.94793612974616281</v>
      </c>
      <c r="G123">
        <f t="shared" si="4"/>
        <v>6.2942959015144968</v>
      </c>
      <c r="H123">
        <f>F123*(($J$1/D123)+$J$2+($J$3*(B123-C123))/D123)</f>
        <v>16.060555156436561</v>
      </c>
      <c r="I123">
        <f>-F123*(1/(D123^2)) + (1/D123)*($J$1+$J$2*D123+$J$3*(B123-C123)+D123*(B123-C123))*(1-F123)</f>
        <v>-6.336562010632063</v>
      </c>
      <c r="J123">
        <f t="shared" si="5"/>
        <v>9.7239931458044975</v>
      </c>
      <c r="L123" s="3">
        <f t="shared" si="6"/>
        <v>0.60705566724880755</v>
      </c>
    </row>
    <row r="124" spans="2:12" x14ac:dyDescent="0.75">
      <c r="B124">
        <f t="shared" si="7"/>
        <v>11.599999999999975</v>
      </c>
      <c r="C124">
        <v>4.8899999999999997</v>
      </c>
      <c r="D124" s="1">
        <v>0.35099999999999998</v>
      </c>
      <c r="F124">
        <f>1-EXP(-D124*($J$1+$J$2*D124+$J$3*(B124-C124)+D124*(B124-C124)))</f>
        <v>0.94767318164063996</v>
      </c>
      <c r="G124">
        <f t="shared" si="4"/>
        <v>6.3588870488086702</v>
      </c>
      <c r="H124">
        <f>F124*(($J$1/D124)+$J$2+($J$3*(B124-C124))/D124)</f>
        <v>16.334672742407225</v>
      </c>
      <c r="I124">
        <f>-F124*(1/(D124^2)) + (1/D124)*($J$1+$J$2*D124+$J$3*(B124-C124)+D124*(B124-C124))*(1-F124)</f>
        <v>-6.4390401171925493</v>
      </c>
      <c r="J124">
        <f t="shared" si="5"/>
        <v>9.8956326252146756</v>
      </c>
      <c r="L124" s="3">
        <f t="shared" si="6"/>
        <v>0.6087926818919831</v>
      </c>
    </row>
    <row r="125" spans="2:12" x14ac:dyDescent="0.75">
      <c r="B125">
        <f t="shared" si="7"/>
        <v>11.699999999999974</v>
      </c>
      <c r="C125">
        <v>4.93</v>
      </c>
      <c r="D125" s="1">
        <v>0.34799999999999998</v>
      </c>
      <c r="F125">
        <f>1-EXP(-D125*($J$1+$J$2*D125+$J$3*(B125-C125)+D125*(B125-C125)))</f>
        <v>0.9471817909842184</v>
      </c>
      <c r="G125">
        <f t="shared" si="4"/>
        <v>6.4124207249631349</v>
      </c>
      <c r="H125">
        <f>F125*(($J$1/D125)+$J$2+($J$3*(B125-C125))/D125)</f>
        <v>16.589018097326708</v>
      </c>
      <c r="I125">
        <f>-F125*(1/(D125^2)) + (1/D125)*($J$1+$J$2*D125+$J$3*(B125-C125)+D125*(B125-C125))*(1-F125)</f>
        <v>-6.5385846720076746</v>
      </c>
      <c r="J125">
        <f t="shared" si="5"/>
        <v>10.050433425319033</v>
      </c>
      <c r="L125" s="3">
        <f t="shared" si="6"/>
        <v>0.61049155471906869</v>
      </c>
    </row>
    <row r="126" spans="2:12" x14ac:dyDescent="0.75">
      <c r="B126">
        <f t="shared" si="7"/>
        <v>11.799999999999974</v>
      </c>
      <c r="C126">
        <v>4.97</v>
      </c>
      <c r="D126" s="1">
        <v>0.34499999999999997</v>
      </c>
      <c r="F126">
        <f>1-EXP(-D126*($J$1+$J$2*D126+$J$3*(B126-C126)+D126*(B126-C126)))</f>
        <v>0.94666457316336983</v>
      </c>
      <c r="G126">
        <f t="shared" si="4"/>
        <v>6.465719034705792</v>
      </c>
      <c r="H126">
        <f>F126*(($J$1/D126)+$J$2+($J$3*(B126-C126))/D126)</f>
        <v>16.847199458202269</v>
      </c>
      <c r="I126">
        <f>-F126*(1/(D126^2)) + (1/D126)*($J$1+$J$2*D126+$J$3*(B126-C126)+D126*(B126-C126))*(1-F126)</f>
        <v>-6.6400352596661314</v>
      </c>
      <c r="J126">
        <f t="shared" si="5"/>
        <v>10.207164198536137</v>
      </c>
      <c r="L126" s="3">
        <f t="shared" si="6"/>
        <v>0.61220150442758325</v>
      </c>
    </row>
    <row r="127" spans="2:12" x14ac:dyDescent="0.75">
      <c r="B127">
        <f t="shared" si="7"/>
        <v>11.899999999999974</v>
      </c>
      <c r="C127">
        <v>5</v>
      </c>
      <c r="D127" s="1">
        <v>0.34200000000000003</v>
      </c>
      <c r="F127">
        <f>1-EXP(-D127*($J$1+$J$2*D127+$J$3*(B127-C127)+D127*(B127-C127)))</f>
        <v>0.94632187950150681</v>
      </c>
      <c r="G127">
        <f t="shared" si="4"/>
        <v>6.5296209685603719</v>
      </c>
      <c r="H127">
        <f>F127*(($J$1/D127)+$J$2+($J$3*(B127-C127))/D127)</f>
        <v>17.133683362752226</v>
      </c>
      <c r="I127">
        <f>-F127*(1/(D127^2)) + (1/D127)*($J$1+$J$2*D127+$J$3*(B127-C127)+D127*(B127-C127))*(1-F127)</f>
        <v>-6.7484594175059289</v>
      </c>
      <c r="J127">
        <f t="shared" si="5"/>
        <v>10.385223945246297</v>
      </c>
      <c r="L127" s="3">
        <f t="shared" si="6"/>
        <v>0.61397098218555957</v>
      </c>
    </row>
    <row r="128" spans="2:12" x14ac:dyDescent="0.75">
      <c r="B128">
        <f t="shared" si="7"/>
        <v>11.999999999999973</v>
      </c>
      <c r="C128">
        <v>5.04</v>
      </c>
      <c r="D128" s="1">
        <v>0.33900000000000002</v>
      </c>
      <c r="F128">
        <f>1-EXP(-D128*($J$1+$J$2*D128+$J$3*(B128-C128)+D128*(B128-C128)))</f>
        <v>0.94575129783101008</v>
      </c>
      <c r="G128">
        <f t="shared" si="4"/>
        <v>6.5824290329038053</v>
      </c>
      <c r="H128">
        <f>F128*(($J$1/D128)+$J$2+($J$3*(B128-C128))/D128)</f>
        <v>17.40001049264631</v>
      </c>
      <c r="I128">
        <f>-F128*(1/(D128^2)) + (1/D128)*($J$1+$J$2*D128+$J$3*(B128-C128)+D128*(B128-C128))*(1-F128)</f>
        <v>-6.8539346207113141</v>
      </c>
      <c r="J128">
        <f t="shared" si="5"/>
        <v>10.546075871934995</v>
      </c>
      <c r="L128" s="3">
        <f t="shared" si="6"/>
        <v>0.61570323449279751</v>
      </c>
    </row>
    <row r="129" spans="2:12" x14ac:dyDescent="0.75">
      <c r="B129">
        <f t="shared" si="7"/>
        <v>12.099999999999973</v>
      </c>
      <c r="C129">
        <v>5.07</v>
      </c>
      <c r="D129" s="1">
        <v>0.33600000000000002</v>
      </c>
      <c r="F129">
        <f>1-EXP(-D129*($J$1+$J$2*D129+$J$3*(B129-C129)+D129*(B129-C129)))</f>
        <v>0.94535314860404263</v>
      </c>
      <c r="G129">
        <f t="shared" si="4"/>
        <v>6.6458326346863936</v>
      </c>
      <c r="H129">
        <f>F129*(($J$1/D129)+$J$2+($J$3*(B129-C129))/D129)</f>
        <v>17.695266540224363</v>
      </c>
      <c r="I129">
        <f>-F129*(1/(D129^2)) + (1/D129)*($J$1+$J$2*D129+$J$3*(B129-C129)+D129*(B129-C129))*(1-F129)</f>
        <v>-6.9666082151252233</v>
      </c>
      <c r="J129">
        <f t="shared" si="5"/>
        <v>10.72865832509914</v>
      </c>
      <c r="L129" s="3">
        <f t="shared" si="6"/>
        <v>0.61749482905320019</v>
      </c>
    </row>
    <row r="130" spans="2:12" x14ac:dyDescent="0.75">
      <c r="B130">
        <f t="shared" si="7"/>
        <v>12.199999999999973</v>
      </c>
      <c r="C130">
        <v>5.1100000000000003</v>
      </c>
      <c r="D130" s="1">
        <v>0.33400000000000002</v>
      </c>
      <c r="F130">
        <f>1-EXP(-D130*($J$1+$J$2*D130+$J$3*(B130-C130)+D130*(B130-C130)))</f>
        <v>0.94533626886402222</v>
      </c>
      <c r="G130">
        <f t="shared" si="4"/>
        <v>6.7024341462458912</v>
      </c>
      <c r="H130">
        <f>F130*(($J$1/D130)+$J$2+($J$3*(B130-C130))/D130)</f>
        <v>17.92799100071398</v>
      </c>
      <c r="I130">
        <f>-F130*(1/(D130^2)) + (1/D130)*($J$1+$J$2*D130+$J$3*(B130-C130)+D130*(B130-C130))*(1-F130)</f>
        <v>-7.049850627113627</v>
      </c>
      <c r="J130">
        <f t="shared" si="5"/>
        <v>10.878140373600353</v>
      </c>
      <c r="L130" s="3">
        <f t="shared" si="6"/>
        <v>0.61875909466555301</v>
      </c>
    </row>
    <row r="131" spans="2:12" x14ac:dyDescent="0.75">
      <c r="B131">
        <f t="shared" si="7"/>
        <v>12.299999999999972</v>
      </c>
      <c r="C131">
        <v>5.15</v>
      </c>
      <c r="D131" s="1">
        <v>0.33100000000000002</v>
      </c>
      <c r="F131">
        <f>1-EXP(-D131*($J$1+$J$2*D131+$J$3*(B131-C131)+D131*(B131-C131)))</f>
        <v>0.94469139075381647</v>
      </c>
      <c r="G131">
        <f t="shared" si="4"/>
        <v>6.7545434438897614</v>
      </c>
      <c r="H131">
        <f>F131*(($J$1/D131)+$J$2+($J$3*(B131-C131))/D131)</f>
        <v>18.206143855553215</v>
      </c>
      <c r="I131">
        <f>-F131*(1/(D131^2)) + (1/D131)*($J$1+$J$2*D131+$J$3*(B131-C131)+D131*(B131-C131))*(1-F131)</f>
        <v>-7.1611481454906221</v>
      </c>
      <c r="J131">
        <f t="shared" si="5"/>
        <v>11.044995710062594</v>
      </c>
      <c r="L131" s="3">
        <f t="shared" si="6"/>
        <v>0.62052144241105656</v>
      </c>
    </row>
    <row r="132" spans="2:12" x14ac:dyDescent="0.75">
      <c r="B132">
        <f t="shared" si="7"/>
        <v>12.399999999999972</v>
      </c>
      <c r="C132">
        <v>5.18</v>
      </c>
      <c r="D132" s="1">
        <v>0.32800000000000001</v>
      </c>
      <c r="F132">
        <f>1-EXP(-D132*($J$1+$J$2*D132+$J$3*(B132-C132)+D132*(B132-C132)))</f>
        <v>0.94421530219004079</v>
      </c>
      <c r="G132">
        <f t="shared" si="4"/>
        <v>6.8172344818120685</v>
      </c>
      <c r="H132">
        <f>F132*(($J$1/D132)+$J$2+($J$3*(B132-C132))/D132)</f>
        <v>18.51410455641771</v>
      </c>
      <c r="I132">
        <f>-F132*(1/(D132^2)) + (1/D132)*($J$1+$J$2*D132+$J$3*(B132-C132)+D132*(B132-C132))*(1-F132)</f>
        <v>-7.2799524211682289</v>
      </c>
      <c r="J132">
        <f t="shared" si="5"/>
        <v>11.234152135249481</v>
      </c>
      <c r="L132" s="3">
        <f t="shared" si="6"/>
        <v>0.62234289107914553</v>
      </c>
    </row>
    <row r="133" spans="2:12" x14ac:dyDescent="0.75">
      <c r="B133">
        <f t="shared" si="7"/>
        <v>12.499999999999972</v>
      </c>
      <c r="C133">
        <v>5.22</v>
      </c>
      <c r="D133" s="1">
        <v>0.32600000000000001</v>
      </c>
      <c r="F133">
        <f>1-EXP(-D133*($J$1+$J$2*D133+$J$3*(B133-C133)+D133*(B133-C133)))</f>
        <v>0.94414314826661716</v>
      </c>
      <c r="G133">
        <f t="shared" si="4"/>
        <v>6.8733621193809462</v>
      </c>
      <c r="H133">
        <f>F133*(($J$1/D133)+$J$2+($J$3*(B133-C133))/D133)</f>
        <v>18.756301445150527</v>
      </c>
      <c r="I133">
        <f>-F133*(1/(D133^2)) + (1/D133)*($J$1+$J$2*D133+$J$3*(B133-C133)+D133*(B133-C133))*(1-F133)</f>
        <v>-7.3675918669386702</v>
      </c>
      <c r="J133">
        <f t="shared" si="5"/>
        <v>11.388709578211856</v>
      </c>
      <c r="L133" s="3">
        <f t="shared" si="6"/>
        <v>0.62362637529854004</v>
      </c>
    </row>
    <row r="134" spans="2:12" x14ac:dyDescent="0.75">
      <c r="B134">
        <f t="shared" si="7"/>
        <v>12.599999999999971</v>
      </c>
      <c r="C134">
        <v>5.26</v>
      </c>
      <c r="D134" s="1">
        <v>0.32300000000000001</v>
      </c>
      <c r="F134">
        <f>1-EXP(-D134*($J$1+$J$2*D134+$J$3*(B134-C134)+D134*(B134-C134)))</f>
        <v>0.94342037325087713</v>
      </c>
      <c r="G134">
        <f t="shared" si="4"/>
        <v>6.924705539661411</v>
      </c>
      <c r="H134">
        <f>F134*(($J$1/D134)+$J$2+($J$3*(B134-C134))/D134)</f>
        <v>19.047014758591139</v>
      </c>
      <c r="I134">
        <f>-F134*(1/(D134^2)) + (1/D134)*($J$1+$J$2*D134+$J$3*(B134-C134)+D134*(B134-C134))*(1-F134)</f>
        <v>-7.4851447847413199</v>
      </c>
      <c r="J134">
        <f t="shared" si="5"/>
        <v>11.56186997384982</v>
      </c>
      <c r="L134" s="3">
        <f t="shared" si="6"/>
        <v>0.6254197790931928</v>
      </c>
    </row>
    <row r="135" spans="2:12" x14ac:dyDescent="0.75">
      <c r="B135">
        <f t="shared" si="7"/>
        <v>12.699999999999971</v>
      </c>
      <c r="C135">
        <v>5.29</v>
      </c>
      <c r="D135" s="1">
        <v>0.32</v>
      </c>
      <c r="F135">
        <f>1-EXP(-D135*($J$1+$J$2*D135+$J$3*(B135-C135)+D135*(B135-C135)))</f>
        <v>0.94286303507165337</v>
      </c>
      <c r="G135">
        <f t="shared" si="4"/>
        <v>6.9866150898809236</v>
      </c>
      <c r="H135">
        <f>F135*(($J$1/D135)+$J$2+($J$3*(B135-C135))/D135)</f>
        <v>19.368469253260912</v>
      </c>
      <c r="I135">
        <f>-F135*(1/(D135^2)) + (1/D135)*($J$1+$J$2*D135+$J$3*(B135-C135)+D135*(B135-C135))*(1-F135)</f>
        <v>-7.610543670013552</v>
      </c>
      <c r="J135">
        <f t="shared" si="5"/>
        <v>11.75792558324736</v>
      </c>
      <c r="L135" s="3">
        <f t="shared" si="6"/>
        <v>0.62727200352811174</v>
      </c>
    </row>
    <row r="136" spans="2:12" x14ac:dyDescent="0.75">
      <c r="B136">
        <f t="shared" si="7"/>
        <v>12.799999999999971</v>
      </c>
      <c r="C136">
        <v>5.33</v>
      </c>
      <c r="D136" s="1">
        <v>0.318</v>
      </c>
      <c r="F136">
        <f>1-EXP(-D136*($J$1+$J$2*D136+$J$3*(B136-C136)+D136*(B136-C136)))</f>
        <v>0.94273395879071864</v>
      </c>
      <c r="G136">
        <f t="shared" si="4"/>
        <v>7.0422226721666403</v>
      </c>
      <c r="H136">
        <f>F136*(($J$1/D136)+$J$2+($J$3*(B136-C136))/D136)</f>
        <v>19.620724631636701</v>
      </c>
      <c r="I136">
        <f>-F136*(1/(D136^2)) + (1/D136)*($J$1+$J$2*D136+$J$3*(B136-C136)+D136*(B136-C136))*(1-F136)</f>
        <v>-7.702922767498694</v>
      </c>
      <c r="J136">
        <f t="shared" si="5"/>
        <v>11.917801864138006</v>
      </c>
      <c r="L136" s="3">
        <f t="shared" si="6"/>
        <v>0.62857523424180195</v>
      </c>
    </row>
    <row r="137" spans="2:12" x14ac:dyDescent="0.75">
      <c r="B137">
        <f t="shared" si="7"/>
        <v>12.89999999999997</v>
      </c>
      <c r="C137">
        <v>5.37</v>
      </c>
      <c r="D137" s="1">
        <v>0.316</v>
      </c>
      <c r="F137">
        <f>1-EXP(-D137*($J$1+$J$2*D137+$J$3*(B137-C137)+D137*(B137-C137)))</f>
        <v>0.942588949685775</v>
      </c>
      <c r="G137">
        <f t="shared" ref="G137:G200" si="8">F137*(B137-C137)</f>
        <v>7.0976947911338577</v>
      </c>
      <c r="H137">
        <f>F137*(($J$1/D137)+$J$2+($J$3*(B137-C137))/D137)</f>
        <v>19.875800469750647</v>
      </c>
      <c r="I137">
        <f>-F137*(1/(D137^2)) + (1/D137)*($J$1+$J$2*D137+$J$3*(B137-C137)+D137*(B137-C137))*(1-F137)</f>
        <v>-7.7965852072651396</v>
      </c>
      <c r="J137">
        <f t="shared" ref="J137:J200" si="9">H137+I137</f>
        <v>12.079215262485508</v>
      </c>
      <c r="L137" s="3">
        <f t="shared" ref="L137:L200" si="10">J137/(G137+J137)</f>
        <v>0.62988329343525962</v>
      </c>
    </row>
    <row r="138" spans="2:12" x14ac:dyDescent="0.75">
      <c r="B138">
        <f t="shared" ref="B138:B201" si="11">B137+0.1</f>
        <v>12.99999999999997</v>
      </c>
      <c r="C138">
        <v>5.4</v>
      </c>
      <c r="D138" s="1">
        <v>0.313</v>
      </c>
      <c r="F138">
        <f>1-EXP(-D138*($J$1+$J$2*D138+$J$3*(B138-C138)+D138*(B138-C138)))</f>
        <v>0.94195651743944664</v>
      </c>
      <c r="G138">
        <f t="shared" si="8"/>
        <v>7.1588695325397653</v>
      </c>
      <c r="H138">
        <f>F138*(($J$1/D138)+$J$2+($J$3*(B138-C138))/D138)</f>
        <v>20.21038430141277</v>
      </c>
      <c r="I138">
        <f>-F138*(1/(D138^2)) + (1/D138)*($J$1+$J$2*D138+$J$3*(B138-C138)+D138*(B138-C138))*(1-F138)</f>
        <v>-7.9283456634032516</v>
      </c>
      <c r="J138">
        <f t="shared" si="9"/>
        <v>12.282038638009517</v>
      </c>
      <c r="L138" s="3">
        <f t="shared" si="10"/>
        <v>0.63176259721319905</v>
      </c>
    </row>
    <row r="139" spans="2:12" x14ac:dyDescent="0.75">
      <c r="B139">
        <f t="shared" si="11"/>
        <v>13.099999999999969</v>
      </c>
      <c r="C139">
        <v>5.44</v>
      </c>
      <c r="D139" s="1">
        <v>0.311</v>
      </c>
      <c r="F139">
        <f>1-EXP(-D139*($J$1+$J$2*D139+$J$3*(B139-C139)+D139*(B139-C139)))</f>
        <v>0.94177345391871969</v>
      </c>
      <c r="G139">
        <f t="shared" si="8"/>
        <v>7.213984657017364</v>
      </c>
      <c r="H139">
        <f>F139*(($J$1/D139)+$J$2+($J$3*(B139-C139))/D139)</f>
        <v>20.472368244019865</v>
      </c>
      <c r="I139">
        <f>-F139*(1/(D139^2)) + (1/D139)*($J$1+$J$2*D139+$J$3*(B139-C139)+D139*(B139-C139))*(1-F139)</f>
        <v>-8.0252611414269079</v>
      </c>
      <c r="J139">
        <f t="shared" si="9"/>
        <v>12.447107102592957</v>
      </c>
      <c r="L139" s="3">
        <f t="shared" si="10"/>
        <v>0.63308321098236187</v>
      </c>
    </row>
    <row r="140" spans="2:12" x14ac:dyDescent="0.75">
      <c r="B140">
        <f t="shared" si="11"/>
        <v>13.199999999999969</v>
      </c>
      <c r="C140">
        <v>5.47</v>
      </c>
      <c r="D140" s="1">
        <v>0.308</v>
      </c>
      <c r="F140">
        <f>1-EXP(-D140*($J$1+$J$2*D140+$J$3*(B140-C140)+D140*(B140-C140)))</f>
        <v>0.94108572866700457</v>
      </c>
      <c r="G140">
        <f t="shared" si="8"/>
        <v>7.2745926825959168</v>
      </c>
      <c r="H140">
        <f>F140*(($J$1/D140)+$J$2+($J$3*(B140-C140))/D140)</f>
        <v>20.81663298972537</v>
      </c>
      <c r="I140">
        <f>-F140*(1/(D140^2)) + (1/D140)*($J$1+$J$2*D140+$J$3*(B140-C140)+D140*(B140-C140))*(1-F140)</f>
        <v>-8.161787831486139</v>
      </c>
      <c r="J140">
        <f t="shared" si="9"/>
        <v>12.654845158239231</v>
      </c>
      <c r="L140" s="3">
        <f t="shared" si="10"/>
        <v>0.63498254488190453</v>
      </c>
    </row>
    <row r="141" spans="2:12" x14ac:dyDescent="0.75">
      <c r="B141">
        <f t="shared" si="11"/>
        <v>13.299999999999969</v>
      </c>
      <c r="C141">
        <v>5.51</v>
      </c>
      <c r="D141" s="1">
        <v>0.30599999999999999</v>
      </c>
      <c r="F141">
        <f>1-EXP(-D141*($J$1+$J$2*D141+$J$3*(B141-C141)+D141*(B141-C141)))</f>
        <v>0.94086375381851184</v>
      </c>
      <c r="G141">
        <f t="shared" si="8"/>
        <v>7.3293286422461783</v>
      </c>
      <c r="H141">
        <f>F141*(($J$1/D141)+$J$2+($J$3*(B141-C141))/D141)</f>
        <v>21.085802127243685</v>
      </c>
      <c r="I141">
        <f>-F141*(1/(D141^2)) + (1/D141)*($J$1+$J$2*D141+$J$3*(B141-C141)+D141*(B141-C141))*(1-F141)</f>
        <v>-8.2621181869203628</v>
      </c>
      <c r="J141">
        <f t="shared" si="9"/>
        <v>12.823683940323322</v>
      </c>
      <c r="L141" s="3">
        <f t="shared" si="10"/>
        <v>0.6363159794488803</v>
      </c>
    </row>
    <row r="142" spans="2:12" x14ac:dyDescent="0.75">
      <c r="B142">
        <f t="shared" si="11"/>
        <v>13.399999999999968</v>
      </c>
      <c r="C142">
        <v>5.55</v>
      </c>
      <c r="D142" s="1">
        <v>0.30399999999999999</v>
      </c>
      <c r="F142">
        <f>1-EXP(-D142*($J$1+$J$2*D142+$J$3*(B142-C142)+D142*(B142-C142)))</f>
        <v>0.94062526026218118</v>
      </c>
      <c r="G142">
        <f t="shared" si="8"/>
        <v>7.3839082930580924</v>
      </c>
      <c r="H142">
        <f>F142*(($J$1/D142)+$J$2+($J$3*(B142-C142))/D142)</f>
        <v>21.358072315828075</v>
      </c>
      <c r="I142">
        <f>-F142*(1/(D142^2)) + (1/D142)*($J$1+$J$2*D142+$J$3*(B142-C142)+D142*(B142-C142))*(1-F142)</f>
        <v>-8.3638952152551056</v>
      </c>
      <c r="J142">
        <f t="shared" si="9"/>
        <v>12.994177100572969</v>
      </c>
      <c r="L142" s="3">
        <f t="shared" si="10"/>
        <v>0.63765446309466112</v>
      </c>
    </row>
    <row r="143" spans="2:12" x14ac:dyDescent="0.75">
      <c r="B143">
        <f t="shared" si="11"/>
        <v>13.499999999999968</v>
      </c>
      <c r="C143">
        <v>5.58</v>
      </c>
      <c r="D143" s="1">
        <v>0.30099999999999999</v>
      </c>
      <c r="F143">
        <f>1-EXP(-D143*($J$1+$J$2*D143+$J$3*(B143-C143)+D143*(B143-C143)))</f>
        <v>0.93985698502072312</v>
      </c>
      <c r="G143">
        <f t="shared" si="8"/>
        <v>7.4436673213640967</v>
      </c>
      <c r="H143">
        <f>F143*(($J$1/D143)+$J$2+($J$3*(B143-C143))/D143)</f>
        <v>21.716785128466306</v>
      </c>
      <c r="I143">
        <f>-F143*(1/(D143^2)) + (1/D143)*($J$1+$J$2*D143+$J$3*(B143-C143)+D143*(B143-C143))*(1-F143)</f>
        <v>-8.5075569522170564</v>
      </c>
      <c r="J143">
        <f t="shared" si="9"/>
        <v>13.209228176249249</v>
      </c>
      <c r="L143" s="3">
        <f t="shared" si="10"/>
        <v>0.63958238581005311</v>
      </c>
    </row>
    <row r="144" spans="2:12" x14ac:dyDescent="0.75">
      <c r="B144">
        <f t="shared" si="11"/>
        <v>13.599999999999968</v>
      </c>
      <c r="C144">
        <v>5.62</v>
      </c>
      <c r="D144" s="1">
        <v>0.29899999999999999</v>
      </c>
      <c r="F144">
        <f>1-EXP(-D144*($J$1+$J$2*D144+$J$3*(B144-C144)+D144*(B144-C144)))</f>
        <v>0.93957818296059092</v>
      </c>
      <c r="G144">
        <f t="shared" si="8"/>
        <v>7.4978339000254852</v>
      </c>
      <c r="H144">
        <f>F144*(($J$1/D144)+$J$2+($J$3*(B144-C144))/D144)</f>
        <v>21.99665652780925</v>
      </c>
      <c r="I144">
        <f>-F144*(1/(D144^2)) + (1/D144)*($J$1+$J$2*D144+$J$3*(B144-C144)+D144*(B144-C144))*(1-F144)</f>
        <v>-8.6129919318514823</v>
      </c>
      <c r="J144">
        <f t="shared" si="9"/>
        <v>13.383664595957768</v>
      </c>
      <c r="L144" s="3">
        <f t="shared" si="10"/>
        <v>0.64093410722090849</v>
      </c>
    </row>
    <row r="145" spans="2:12" x14ac:dyDescent="0.75">
      <c r="B145">
        <f t="shared" si="11"/>
        <v>13.699999999999967</v>
      </c>
      <c r="C145">
        <v>5.66</v>
      </c>
      <c r="D145" s="1">
        <v>0.29699999999999999</v>
      </c>
      <c r="F145">
        <f>1-EXP(-D145*($J$1+$J$2*D145+$J$3*(B145-C145)+D145*(B145-C145)))</f>
        <v>0.93928234763908447</v>
      </c>
      <c r="G145">
        <f t="shared" si="8"/>
        <v>7.5518300750182084</v>
      </c>
      <c r="H145">
        <f>F145*(($J$1/D145)+$J$2+($J$3*(B145-C145))/D145)</f>
        <v>22.279808911667278</v>
      </c>
      <c r="I145">
        <f>-F145*(1/(D145^2)) + (1/D145)*($J$1+$J$2*D145+$J$3*(B145-C145)+D145*(B145-C145))*(1-F145)</f>
        <v>-8.7199784717617757</v>
      </c>
      <c r="J145">
        <f t="shared" si="9"/>
        <v>13.559830439905502</v>
      </c>
      <c r="L145" s="3">
        <f t="shared" si="10"/>
        <v>0.64229104244643087</v>
      </c>
    </row>
    <row r="146" spans="2:12" x14ac:dyDescent="0.75">
      <c r="B146">
        <f t="shared" si="11"/>
        <v>13.799999999999967</v>
      </c>
      <c r="C146">
        <v>5.69</v>
      </c>
      <c r="D146" s="1">
        <v>0.29499999999999998</v>
      </c>
      <c r="F146">
        <f>1-EXP(-D146*($J$1+$J$2*D146+$J$3*(B146-C146)+D146*(B146-C146)))</f>
        <v>0.93915718233755552</v>
      </c>
      <c r="G146">
        <f t="shared" si="8"/>
        <v>7.6165647487575443</v>
      </c>
      <c r="H146">
        <f>F146*(($J$1/D146)+$J$2+($J$3*(B146-C146))/D146)</f>
        <v>22.594689194390483</v>
      </c>
      <c r="I146">
        <f>-F146*(1/(D146^2)) + (1/D146)*($J$1+$J$2*D146+$J$3*(B146-C146)+D146*(B146-C146))*(1-F146)</f>
        <v>-8.8345884141341315</v>
      </c>
      <c r="J146">
        <f t="shared" si="9"/>
        <v>13.760100780256352</v>
      </c>
      <c r="L146" s="3">
        <f t="shared" si="10"/>
        <v>0.64369724836552211</v>
      </c>
    </row>
    <row r="147" spans="2:12" x14ac:dyDescent="0.75">
      <c r="B147">
        <f t="shared" si="11"/>
        <v>13.899999999999967</v>
      </c>
      <c r="C147">
        <v>5.73</v>
      </c>
      <c r="D147" s="1">
        <v>0.29299999999999998</v>
      </c>
      <c r="F147">
        <f>1-EXP(-D147*($J$1+$J$2*D147+$J$3*(B147-C147)+D147*(B147-C147)))</f>
        <v>0.93882619965118963</v>
      </c>
      <c r="G147">
        <f t="shared" si="8"/>
        <v>7.6702100511501872</v>
      </c>
      <c r="H147">
        <f>F147*(($J$1/D147)+$J$2+($J$3*(B147-C147))/D147)</f>
        <v>22.884769767367647</v>
      </c>
      <c r="I147">
        <f>-F147*(1/(D147^2)) + (1/D147)*($J$1+$J$2*D147+$J$3*(B147-C147)+D147*(B147-C147))*(1-F147)</f>
        <v>-8.9448261725953415</v>
      </c>
      <c r="J147">
        <f t="shared" si="9"/>
        <v>13.939943594772306</v>
      </c>
      <c r="L147" s="3">
        <f t="shared" si="10"/>
        <v>0.64506452953436355</v>
      </c>
    </row>
    <row r="148" spans="2:12" x14ac:dyDescent="0.75">
      <c r="B148">
        <f t="shared" si="11"/>
        <v>13.999999999999966</v>
      </c>
      <c r="C148">
        <v>5.76</v>
      </c>
      <c r="D148" s="1">
        <v>0.28999999999999998</v>
      </c>
      <c r="F148">
        <f>1-EXP(-D148*($J$1+$J$2*D148+$J$3*(B148-C148)+D148*(B148-C148)))</f>
        <v>0.93792357551213579</v>
      </c>
      <c r="G148">
        <f t="shared" si="8"/>
        <v>7.7284902622199674</v>
      </c>
      <c r="H148">
        <f>F148*(($J$1/D148)+$J$2+($J$3*(B148-C148))/D148)</f>
        <v>23.268590220765645</v>
      </c>
      <c r="I148">
        <f>-F148*(1/(D148^2)) + (1/D148)*($J$1+$J$2*D148+$J$3*(B148-C148)+D148*(B148-C148))*(1-F148)</f>
        <v>-9.1009398826544139</v>
      </c>
      <c r="J148">
        <f t="shared" si="9"/>
        <v>14.167650338111232</v>
      </c>
      <c r="L148" s="3">
        <f t="shared" si="10"/>
        <v>0.64703869950017279</v>
      </c>
    </row>
    <row r="149" spans="2:12" x14ac:dyDescent="0.75">
      <c r="B149">
        <f t="shared" si="11"/>
        <v>14.099999999999966</v>
      </c>
      <c r="C149">
        <v>5.8</v>
      </c>
      <c r="D149" s="1">
        <v>0.28799999999999998</v>
      </c>
      <c r="F149">
        <f>1-EXP(-D149*($J$1+$J$2*D149+$J$3*(B149-C149)+D149*(B149-C149)))</f>
        <v>0.9375495851800828</v>
      </c>
      <c r="G149">
        <f t="shared" si="8"/>
        <v>7.7816615569946546</v>
      </c>
      <c r="H149">
        <f>F149*(($J$1/D149)+$J$2+($J$3*(B149-C149))/D149)</f>
        <v>23.567001621363428</v>
      </c>
      <c r="I149">
        <f>-F149*(1/(D149^2)) + (1/D149)*($J$1+$J$2*D149+$J$3*(B149-C149)+D149*(B149-C149))*(1-F149)</f>
        <v>-9.2152621509190062</v>
      </c>
      <c r="J149">
        <f t="shared" si="9"/>
        <v>14.351739470444421</v>
      </c>
      <c r="L149" s="3">
        <f t="shared" si="10"/>
        <v>0.64841998085393093</v>
      </c>
    </row>
    <row r="150" spans="2:12" x14ac:dyDescent="0.75">
      <c r="B150">
        <f t="shared" si="11"/>
        <v>14.199999999999966</v>
      </c>
      <c r="C150">
        <v>5.83</v>
      </c>
      <c r="D150" s="1">
        <v>0.28599999999999998</v>
      </c>
      <c r="F150">
        <f>1-EXP(-D150*($J$1+$J$2*D150+$J$3*(B150-C150)+D150*(B150-C150)))</f>
        <v>0.93734346666521517</v>
      </c>
      <c r="G150">
        <f t="shared" si="8"/>
        <v>7.8455648159878191</v>
      </c>
      <c r="H150">
        <f>F150*(($J$1/D150)+$J$2+($J$3*(B150-C150))/D150)</f>
        <v>23.898325490312562</v>
      </c>
      <c r="I150">
        <f>-F150*(1/(D150^2)) + (1/D150)*($J$1+$J$2*D150+$J$3*(B150-C150)+D150*(B150-C150))*(1-F150)</f>
        <v>-9.3376130637118102</v>
      </c>
      <c r="J150">
        <f t="shared" si="9"/>
        <v>14.560712426600752</v>
      </c>
      <c r="L150" s="3">
        <f t="shared" si="10"/>
        <v>0.64984969475092369</v>
      </c>
    </row>
    <row r="151" spans="2:12" x14ac:dyDescent="0.75">
      <c r="B151">
        <f t="shared" si="11"/>
        <v>14.299999999999965</v>
      </c>
      <c r="C151">
        <v>5.87</v>
      </c>
      <c r="D151" s="1">
        <v>0.28399999999999997</v>
      </c>
      <c r="F151">
        <f>1-EXP(-D151*($J$1+$J$2*D151+$J$3*(B151-C151)+D151*(B151-C151)))</f>
        <v>0.93693270070637868</v>
      </c>
      <c r="G151">
        <f t="shared" si="8"/>
        <v>7.898342666954739</v>
      </c>
      <c r="H151">
        <f>F151*(($J$1/D151)+$J$2+($J$3*(B151-C151))/D151)</f>
        <v>24.204204736874875</v>
      </c>
      <c r="I151">
        <f>-F151*(1/(D151^2)) + (1/D151)*($J$1+$J$2*D151+$J$3*(B151-C151)+D151*(B151-C151))*(1-F151)</f>
        <v>-9.455500943633087</v>
      </c>
      <c r="J151">
        <f t="shared" si="9"/>
        <v>14.748703793241788</v>
      </c>
      <c r="L151" s="3">
        <f t="shared" si="10"/>
        <v>0.65124182171672906</v>
      </c>
    </row>
    <row r="152" spans="2:12" x14ac:dyDescent="0.75">
      <c r="B152">
        <f t="shared" si="11"/>
        <v>14.399999999999965</v>
      </c>
      <c r="C152">
        <v>5.91</v>
      </c>
      <c r="D152" s="1">
        <v>0.28199999999999997</v>
      </c>
      <c r="F152">
        <f>1-EXP(-D152*($J$1+$J$2*D152+$J$3*(B152-C152)+D152*(B152-C152)))</f>
        <v>0.9365034661745929</v>
      </c>
      <c r="G152">
        <f t="shared" si="8"/>
        <v>7.9509144278222603</v>
      </c>
      <c r="H152">
        <f>F152*(($J$1/D152)+$J$2+($J$3*(B152-C152))/D152)</f>
        <v>24.513808460689184</v>
      </c>
      <c r="I152">
        <f>-F152*(1/(D152^2)) + (1/D152)*($J$1+$J$2*D152+$J$3*(B152-C152)+D152*(B152-C152))*(1-F152)</f>
        <v>-9.5751990488479901</v>
      </c>
      <c r="J152">
        <f t="shared" si="9"/>
        <v>14.938609411841194</v>
      </c>
      <c r="L152" s="3">
        <f t="shared" si="10"/>
        <v>0.6526395881575856</v>
      </c>
    </row>
    <row r="153" spans="2:12" x14ac:dyDescent="0.75">
      <c r="B153">
        <f t="shared" si="11"/>
        <v>14.499999999999964</v>
      </c>
      <c r="C153">
        <v>5.94</v>
      </c>
      <c r="D153" s="1">
        <v>0.28000000000000003</v>
      </c>
      <c r="F153">
        <f>1-EXP(-D153*($J$1+$J$2*D153+$J$3*(B153-C153)+D153*(B153-C153)))</f>
        <v>0.93623966560979122</v>
      </c>
      <c r="G153">
        <f t="shared" si="8"/>
        <v>8.0142115376197776</v>
      </c>
      <c r="H153">
        <f>F153*(($J$1/D153)+$J$2+($J$3*(B153-C153))/D153)</f>
        <v>24.857163121939863</v>
      </c>
      <c r="I153">
        <f>-F153*(1/(D153^2)) + (1/D153)*($J$1+$J$2*D153+$J$3*(B153-C153)+D153*(B153-C153))*(1-F153)</f>
        <v>-9.7032071290724211</v>
      </c>
      <c r="J153">
        <f t="shared" si="9"/>
        <v>15.153955992867441</v>
      </c>
      <c r="L153" s="3">
        <f t="shared" si="10"/>
        <v>0.6540852215837184</v>
      </c>
    </row>
    <row r="154" spans="2:12" x14ac:dyDescent="0.75">
      <c r="B154">
        <f t="shared" si="11"/>
        <v>14.599999999999964</v>
      </c>
      <c r="C154">
        <v>5.98</v>
      </c>
      <c r="D154" s="1">
        <v>0.27800000000000002</v>
      </c>
      <c r="F154">
        <f>1-EXP(-D154*($J$1+$J$2*D154+$J$3*(B154-C154)+D154*(B154-C154)))</f>
        <v>0.93577240166172748</v>
      </c>
      <c r="G154">
        <f t="shared" si="8"/>
        <v>8.066358102324056</v>
      </c>
      <c r="H154">
        <f>F154*(($J$1/D154)+$J$2+($J$3*(B154-C154))/D154)</f>
        <v>25.174633866143409</v>
      </c>
      <c r="I154">
        <f>-F154*(1/(D154^2)) + (1/D154)*($J$1+$J$2*D154+$J$3*(B154-C154)+D154*(B154-C154))*(1-F154)</f>
        <v>-9.8267033920705114</v>
      </c>
      <c r="J154">
        <f t="shared" si="9"/>
        <v>15.347930474072898</v>
      </c>
      <c r="L154" s="3">
        <f t="shared" si="10"/>
        <v>0.65549420491658916</v>
      </c>
    </row>
    <row r="155" spans="2:12" x14ac:dyDescent="0.75">
      <c r="B155">
        <f t="shared" si="11"/>
        <v>14.699999999999964</v>
      </c>
      <c r="C155">
        <v>6.01</v>
      </c>
      <c r="D155" s="1">
        <v>0.27600000000000002</v>
      </c>
      <c r="F155">
        <f>1-EXP(-D155*($J$1+$J$2*D155+$J$3*(B155-C155)+D155*(B155-C155)))</f>
        <v>0.93546891543295607</v>
      </c>
      <c r="G155">
        <f t="shared" si="8"/>
        <v>8.1292248751123548</v>
      </c>
      <c r="H155">
        <f>F155*(($J$1/D155)+$J$2+($J$3*(B155-C155))/D155)</f>
        <v>25.526438560870279</v>
      </c>
      <c r="I155">
        <f>-F155*(1/(D155^2)) + (1/D155)*($J$1+$J$2*D155+$J$3*(B155-C155)+D155*(B155-C155))*(1-F155)</f>
        <v>-9.958707379389562</v>
      </c>
      <c r="J155">
        <f t="shared" si="9"/>
        <v>15.567731181480717</v>
      </c>
      <c r="L155" s="3">
        <f t="shared" si="10"/>
        <v>0.65695067097655324</v>
      </c>
    </row>
    <row r="156" spans="2:12" x14ac:dyDescent="0.75">
      <c r="B156">
        <f t="shared" si="11"/>
        <v>14.799999999999963</v>
      </c>
      <c r="C156">
        <v>6.05</v>
      </c>
      <c r="D156" s="1">
        <v>0.27400000000000002</v>
      </c>
      <c r="F156">
        <f>1-EXP(-D156*($J$1+$J$2*D156+$J$3*(B156-C156)+D156*(B156-C156)))</f>
        <v>0.93496266569155306</v>
      </c>
      <c r="G156">
        <f t="shared" si="8"/>
        <v>8.1809233248010553</v>
      </c>
      <c r="H156">
        <f>F156*(($J$1/D156)+$J$2+($J$3*(B156-C156))/D156)</f>
        <v>25.852058933621599</v>
      </c>
      <c r="I156">
        <f>-F156*(1/(D156^2)) + (1/D156)*($J$1+$J$2*D156+$J$3*(B156-C156)+D156*(B156-C156))*(1-F156)</f>
        <v>-10.086166574203506</v>
      </c>
      <c r="J156">
        <f t="shared" si="9"/>
        <v>15.765892359418093</v>
      </c>
      <c r="L156" s="3">
        <f t="shared" si="10"/>
        <v>0.65837114075287062</v>
      </c>
    </row>
    <row r="157" spans="2:12" x14ac:dyDescent="0.75">
      <c r="B157">
        <f t="shared" si="11"/>
        <v>14.899999999999963</v>
      </c>
      <c r="C157">
        <v>6.08</v>
      </c>
      <c r="D157" s="1">
        <v>0.27200000000000002</v>
      </c>
      <c r="F157">
        <f>1-EXP(-D157*($J$1+$J$2*D157+$J$3*(B157-C157)+D157*(B157-C157)))</f>
        <v>0.934618640233144</v>
      </c>
      <c r="G157">
        <f t="shared" si="8"/>
        <v>8.2433364068562955</v>
      </c>
      <c r="H157">
        <f>F157*(($J$1/D157)+$J$2+($J$3*(B157-C157))/D157)</f>
        <v>26.212616760597555</v>
      </c>
      <c r="I157">
        <f>-F157*(1/(D157^2)) + (1/D157)*($J$1+$J$2*D157+$J$3*(B157-C157)+D157*(B157-C157))*(1-F157)</f>
        <v>-10.222342660224648</v>
      </c>
      <c r="J157">
        <f t="shared" si="9"/>
        <v>15.990274100372908</v>
      </c>
      <c r="L157" s="3">
        <f t="shared" si="10"/>
        <v>0.65983870193848337</v>
      </c>
    </row>
    <row r="158" spans="2:12" x14ac:dyDescent="0.75">
      <c r="B158">
        <f t="shared" si="11"/>
        <v>14.999999999999963</v>
      </c>
      <c r="C158">
        <v>6.12</v>
      </c>
      <c r="D158" s="1">
        <v>0.27</v>
      </c>
      <c r="F158">
        <f>1-EXP(-D158*($J$1+$J$2*D158+$J$3*(B158-C158)+D158*(B158-C158)))</f>
        <v>0.93407232690178876</v>
      </c>
      <c r="G158">
        <f t="shared" si="8"/>
        <v>8.2945622628878493</v>
      </c>
      <c r="H158">
        <f>F158*(($J$1/D158)+$J$2+($J$3*(B158-C158))/D158)</f>
        <v>26.546681483262407</v>
      </c>
      <c r="I158">
        <f>-F158*(1/(D158^2)) + (1/D158)*($J$1+$J$2*D158+$J$3*(B158-C158)+D158*(B158-C158))*(1-F158)</f>
        <v>-10.353936844940366</v>
      </c>
      <c r="J158">
        <f t="shared" si="9"/>
        <v>16.19274463832204</v>
      </c>
      <c r="L158" s="3">
        <f t="shared" si="10"/>
        <v>0.66127094758313232</v>
      </c>
    </row>
    <row r="159" spans="2:12" x14ac:dyDescent="0.75">
      <c r="B159">
        <f t="shared" si="11"/>
        <v>15.099999999999962</v>
      </c>
      <c r="C159">
        <v>6.16</v>
      </c>
      <c r="D159" s="1">
        <v>0.26900000000000002</v>
      </c>
      <c r="F159">
        <f>1-EXP(-D159*($J$1+$J$2*D159+$J$3*(B159-C159)+D159*(B159-C159)))</f>
        <v>0.93433376352001862</v>
      </c>
      <c r="G159">
        <f t="shared" si="8"/>
        <v>8.352943845868932</v>
      </c>
      <c r="H159">
        <f>F159*(($J$1/D159)+$J$2+($J$3*(B159-C159))/D159)</f>
        <v>26.808953297550413</v>
      </c>
      <c r="I159">
        <f>-F159*(1/(D159^2)) + (1/D159)*($J$1+$J$2*D159+$J$3*(B159-C159)+D159*(B159-C159))*(1-F159)</f>
        <v>-10.440892369024697</v>
      </c>
      <c r="J159">
        <f t="shared" si="9"/>
        <v>16.368060928525715</v>
      </c>
      <c r="L159" s="3">
        <f t="shared" si="10"/>
        <v>0.66211147475200172</v>
      </c>
    </row>
    <row r="160" spans="2:12" x14ac:dyDescent="0.75">
      <c r="B160">
        <f t="shared" si="11"/>
        <v>15.199999999999962</v>
      </c>
      <c r="C160">
        <v>6.19</v>
      </c>
      <c r="D160" s="1">
        <v>0.26700000000000002</v>
      </c>
      <c r="F160">
        <f>1-EXP(-D160*($J$1+$J$2*D160+$J$3*(B160-C160)+D160*(B160-C160)))</f>
        <v>0.93393596896058784</v>
      </c>
      <c r="G160">
        <f t="shared" si="8"/>
        <v>8.4147630803348612</v>
      </c>
      <c r="H160">
        <f>F160*(($J$1/D160)+$J$2+($J$3*(B160-C160))/D160)</f>
        <v>27.181559267405834</v>
      </c>
      <c r="I160">
        <f>-F160*(1/(D160^2)) + (1/D160)*($J$1+$J$2*D160+$J$3*(B160-C160)+D160*(B160-C160))*(1-F160)</f>
        <v>-10.582717569452292</v>
      </c>
      <c r="J160">
        <f t="shared" si="9"/>
        <v>16.598841697953542</v>
      </c>
      <c r="L160" s="3">
        <f t="shared" si="10"/>
        <v>0.66359254673925272</v>
      </c>
    </row>
    <row r="161" spans="2:12" x14ac:dyDescent="0.75">
      <c r="B161">
        <f t="shared" si="11"/>
        <v>15.299999999999962</v>
      </c>
      <c r="C161">
        <v>6.23</v>
      </c>
      <c r="D161" s="1">
        <v>0.26500000000000001</v>
      </c>
      <c r="F161">
        <f>1-EXP(-D161*($J$1+$J$2*D161+$J$3*(B161-C161)+D161*(B161-C161)))</f>
        <v>0.93333761978870999</v>
      </c>
      <c r="G161">
        <f t="shared" si="8"/>
        <v>8.4653722114835634</v>
      </c>
      <c r="H161">
        <f>F161*(($J$1/D161)+$J$2+($J$3*(B161-C161))/D161)</f>
        <v>27.52729623344748</v>
      </c>
      <c r="I161">
        <f>-F161*(1/(D161^2)) + (1/D161)*($J$1+$J$2*D161+$J$3*(B161-C161)+D161*(B161-C161))*(1-F161)</f>
        <v>-10.719946761609156</v>
      </c>
      <c r="J161">
        <f t="shared" si="9"/>
        <v>16.807349471838322</v>
      </c>
      <c r="L161" s="3">
        <f t="shared" si="10"/>
        <v>0.66503915496089694</v>
      </c>
    </row>
    <row r="162" spans="2:12" x14ac:dyDescent="0.75">
      <c r="B162">
        <f t="shared" si="11"/>
        <v>15.399999999999961</v>
      </c>
      <c r="C162">
        <v>6.26</v>
      </c>
      <c r="D162" s="1">
        <v>0.26300000000000001</v>
      </c>
      <c r="F162">
        <f>1-EXP(-D162*($J$1+$J$2*D162+$J$3*(B162-C162)+D162*(B162-C162)))</f>
        <v>0.93289710624980127</v>
      </c>
      <c r="G162">
        <f t="shared" si="8"/>
        <v>8.5266795511231468</v>
      </c>
      <c r="H162">
        <f>F162*(($J$1/D162)+$J$2+($J$3*(B162-C162))/D162)</f>
        <v>27.909408237792189</v>
      </c>
      <c r="I162">
        <f>-F162*(1/(D162^2)) + (1/D162)*($J$1+$J$2*D162+$J$3*(B162-C162)+D162*(B162-C162))*(1-F162)</f>
        <v>-10.86638165249312</v>
      </c>
      <c r="J162">
        <f t="shared" si="9"/>
        <v>17.043026585299067</v>
      </c>
      <c r="L162" s="3">
        <f t="shared" si="10"/>
        <v>0.66653196929089842</v>
      </c>
    </row>
    <row r="163" spans="2:12" x14ac:dyDescent="0.75">
      <c r="B163">
        <f t="shared" si="11"/>
        <v>15.499999999999961</v>
      </c>
      <c r="C163">
        <v>6.3</v>
      </c>
      <c r="D163" s="1">
        <v>0.26100000000000001</v>
      </c>
      <c r="F163">
        <f>1-EXP(-D163*($J$1+$J$2*D163+$J$3*(B163-C163)+D163*(B163-C163)))</f>
        <v>0.93225599092029188</v>
      </c>
      <c r="G163">
        <f t="shared" si="8"/>
        <v>8.5767551164666482</v>
      </c>
      <c r="H163">
        <f>F163*(($J$1/D163)+$J$2+($J$3*(B163-C163))/D163)</f>
        <v>28.26432286954708</v>
      </c>
      <c r="I163">
        <f>-F163*(1/(D163^2)) + (1/D163)*($J$1+$J$2*D163+$J$3*(B163-C163)+D163*(B163-C163))*(1-F163)</f>
        <v>-11.008173902402248</v>
      </c>
      <c r="J163">
        <f t="shared" si="9"/>
        <v>17.256148967144831</v>
      </c>
      <c r="L163" s="3">
        <f t="shared" si="10"/>
        <v>0.66799105943695336</v>
      </c>
    </row>
    <row r="164" spans="2:12" x14ac:dyDescent="0.75">
      <c r="B164">
        <f t="shared" si="11"/>
        <v>15.599999999999961</v>
      </c>
      <c r="C164">
        <v>6.34</v>
      </c>
      <c r="D164" s="1">
        <v>0.26</v>
      </c>
      <c r="F164">
        <f>1-EXP(-D164*($J$1+$J$2*D164+$J$3*(B164-C164)+D164*(B164-C164)))</f>
        <v>0.93246140049324966</v>
      </c>
      <c r="G164">
        <f t="shared" si="8"/>
        <v>8.6345925685674558</v>
      </c>
      <c r="H164">
        <f>F164*(($J$1/D164)+$J$2+($J$3*(B164-C164))/D164)</f>
        <v>28.540491635097123</v>
      </c>
      <c r="I164">
        <f>-F164*(1/(D164^2)) + (1/D164)*($J$1+$J$2*D164+$J$3*(B164-C164)+D164*(B164-C164))*(1-F164)</f>
        <v>-11.101199595576711</v>
      </c>
      <c r="J164">
        <f t="shared" si="9"/>
        <v>17.43929203952041</v>
      </c>
      <c r="L164" s="3">
        <f t="shared" si="10"/>
        <v>0.66884134457321753</v>
      </c>
    </row>
    <row r="165" spans="2:12" x14ac:dyDescent="0.75">
      <c r="B165">
        <f t="shared" si="11"/>
        <v>15.69999999999996</v>
      </c>
      <c r="C165">
        <v>6.37</v>
      </c>
      <c r="D165" s="1">
        <v>0.25800000000000001</v>
      </c>
      <c r="F165">
        <f>1-EXP(-D165*($J$1+$J$2*D165+$J$3*(B165-C165)+D165*(B165-C165)))</f>
        <v>0.93196447746610733</v>
      </c>
      <c r="G165">
        <f t="shared" si="8"/>
        <v>8.6952285747587439</v>
      </c>
      <c r="H165">
        <f>F165*(($J$1/D165)+$J$2+($J$3*(B165-C165))/D165)</f>
        <v>28.935690892614254</v>
      </c>
      <c r="I165">
        <f>-F165*(1/(D165^2)) + (1/D165)*($J$1+$J$2*D165+$J$3*(B165-C165)+D165*(B165-C165))*(1-F165)</f>
        <v>-11.253886198130134</v>
      </c>
      <c r="J165">
        <f t="shared" si="9"/>
        <v>17.681804694484121</v>
      </c>
      <c r="L165" s="3">
        <f t="shared" si="10"/>
        <v>0.67034850030318305</v>
      </c>
    </row>
    <row r="166" spans="2:12" x14ac:dyDescent="0.75">
      <c r="B166">
        <f t="shared" si="11"/>
        <v>15.79999999999996</v>
      </c>
      <c r="C166">
        <v>6.4</v>
      </c>
      <c r="D166" s="1">
        <v>0.25600000000000001</v>
      </c>
      <c r="F166">
        <f>1-EXP(-D166*($J$1+$J$2*D166+$J$3*(B166-C166)+D166*(B166-C166)))</f>
        <v>0.93144474386614518</v>
      </c>
      <c r="G166">
        <f t="shared" si="8"/>
        <v>8.7555805923417278</v>
      </c>
      <c r="H166">
        <f>F166*(($J$1/D166)+$J$2+($J$3*(B166-C166))/D166)</f>
        <v>29.336143284546587</v>
      </c>
      <c r="I166">
        <f>-F166*(1/(D166^2)) + (1/D166)*($J$1+$J$2*D166+$J$3*(B166-C166)+D166*(B166-C166))*(1-F166)</f>
        <v>-11.409130246916327</v>
      </c>
      <c r="J166">
        <f t="shared" si="9"/>
        <v>17.92701303763026</v>
      </c>
      <c r="L166" s="3">
        <f t="shared" si="10"/>
        <v>0.67186171202986911</v>
      </c>
    </row>
    <row r="167" spans="2:12" x14ac:dyDescent="0.75">
      <c r="B167">
        <f t="shared" si="11"/>
        <v>15.899999999999959</v>
      </c>
      <c r="C167">
        <v>6.44</v>
      </c>
      <c r="D167" s="1">
        <v>0.255</v>
      </c>
      <c r="F167">
        <f>1-EXP(-D167*($J$1+$J$2*D167+$J$3*(B167-C167)+D167*(B167-C167)))</f>
        <v>0.93161575040851596</v>
      </c>
      <c r="G167">
        <f t="shared" si="8"/>
        <v>8.8130849988645217</v>
      </c>
      <c r="H167">
        <f>F167*(($J$1/D167)+$J$2+($J$3*(B167-C167))/D167)</f>
        <v>29.62081411911614</v>
      </c>
      <c r="I167">
        <f>-F167*(1/(D167^2)) + (1/D167)*($J$1+$J$2*D167+$J$3*(B167-C167)+D167*(B167-C167))*(1-F167)</f>
        <v>-11.505840685201374</v>
      </c>
      <c r="J167">
        <f t="shared" si="9"/>
        <v>18.114973433914766</v>
      </c>
      <c r="L167" s="3">
        <f t="shared" si="10"/>
        <v>0.67271739918179796</v>
      </c>
    </row>
    <row r="168" spans="2:12" x14ac:dyDescent="0.75">
      <c r="B168">
        <f t="shared" si="11"/>
        <v>15.999999999999959</v>
      </c>
      <c r="C168">
        <v>6.48</v>
      </c>
      <c r="D168" s="1">
        <v>0.253</v>
      </c>
      <c r="F168">
        <f>1-EXP(-D168*($J$1+$J$2*D168+$J$3*(B168-C168)+D168*(B168-C168)))</f>
        <v>0.93088518211323545</v>
      </c>
      <c r="G168">
        <f t="shared" si="8"/>
        <v>8.8620269337179636</v>
      </c>
      <c r="H168">
        <f>F168*(($J$1/D168)+$J$2+($J$3*(B168-C168))/D168)</f>
        <v>29.996763161879205</v>
      </c>
      <c r="I168">
        <f>-F168*(1/(D168^2)) + (1/D168)*($J$1+$J$2*D168+$J$3*(B168-C168)+D168*(B168-C168))*(1-F168)</f>
        <v>-11.657912908221117</v>
      </c>
      <c r="J168">
        <f t="shared" si="9"/>
        <v>18.338850253658087</v>
      </c>
      <c r="L168" s="3">
        <f t="shared" si="10"/>
        <v>0.67420069313680675</v>
      </c>
    </row>
    <row r="169" spans="2:12" x14ac:dyDescent="0.75">
      <c r="B169">
        <f t="shared" si="11"/>
        <v>16.099999999999959</v>
      </c>
      <c r="C169">
        <v>6.51</v>
      </c>
      <c r="D169" s="1">
        <v>0.251</v>
      </c>
      <c r="F169">
        <f>1-EXP(-D169*($J$1+$J$2*D169+$J$3*(B169-C169)+D169*(B169-C169)))</f>
        <v>0.930306424565159</v>
      </c>
      <c r="G169">
        <f t="shared" si="8"/>
        <v>8.9216386115798372</v>
      </c>
      <c r="H169">
        <f>F169*(($J$1/D169)+$J$2+($J$3*(B169-C169))/D169)</f>
        <v>30.411198123021233</v>
      </c>
      <c r="I169">
        <f>-F169*(1/(D169^2)) + (1/D169)*($J$1+$J$2*D169+$J$3*(B169-C169)+D169*(B169-C169))*(1-F169)</f>
        <v>-11.819928757984338</v>
      </c>
      <c r="J169">
        <f t="shared" si="9"/>
        <v>18.591269365036894</v>
      </c>
      <c r="L169" s="3">
        <f t="shared" si="10"/>
        <v>0.67572898440388951</v>
      </c>
    </row>
    <row r="170" spans="2:12" x14ac:dyDescent="0.75">
      <c r="B170">
        <f t="shared" si="11"/>
        <v>16.19999999999996</v>
      </c>
      <c r="C170">
        <v>6.55</v>
      </c>
      <c r="D170" s="1">
        <v>0.25</v>
      </c>
      <c r="F170">
        <f>1-EXP(-D170*($J$1+$J$2*D170+$J$3*(B170-C170)+D170*(B170-C170)))</f>
        <v>0.93044413247189639</v>
      </c>
      <c r="G170">
        <f t="shared" si="8"/>
        <v>8.9787858783537633</v>
      </c>
      <c r="H170">
        <f>F170*(($J$1/D170)+$J$2+($J$3*(B170-C170))/D170)</f>
        <v>30.704656371572469</v>
      </c>
      <c r="I170">
        <f>-F170*(1/(D170^2)) + (1/D170)*($J$1+$J$2*D170+$J$3*(B170-C170)+D170*(B170-C170))*(1-F170)</f>
        <v>-11.920548369476734</v>
      </c>
      <c r="J170">
        <f t="shared" si="9"/>
        <v>18.784108002095735</v>
      </c>
      <c r="L170" s="3">
        <f t="shared" si="10"/>
        <v>0.67659041895929362</v>
      </c>
    </row>
    <row r="171" spans="2:12" x14ac:dyDescent="0.75">
      <c r="B171">
        <f t="shared" si="11"/>
        <v>16.299999999999962</v>
      </c>
      <c r="C171">
        <v>6.58</v>
      </c>
      <c r="D171" s="1">
        <v>0.248</v>
      </c>
      <c r="F171">
        <f>1-EXP(-D171*($J$1+$J$2*D171+$J$3*(B171-C171)+D171*(B171-C171)))</f>
        <v>0.92982857344919079</v>
      </c>
      <c r="G171">
        <f t="shared" si="8"/>
        <v>9.0379337339260992</v>
      </c>
      <c r="H171">
        <f>F171*(($J$1/D171)+$J$2+($J$3*(B171-C171))/D171)</f>
        <v>31.128261081469894</v>
      </c>
      <c r="I171">
        <f>-F171*(1/(D171^2)) + (1/D171)*($J$1+$J$2*D171+$J$3*(B171-C171)+D171*(B171-C171))*(1-F171)</f>
        <v>-12.086955960186586</v>
      </c>
      <c r="J171">
        <f t="shared" si="9"/>
        <v>19.041305121283308</v>
      </c>
      <c r="L171" s="3">
        <f t="shared" si="10"/>
        <v>0.67812753826661032</v>
      </c>
    </row>
    <row r="172" spans="2:12" x14ac:dyDescent="0.75">
      <c r="B172">
        <f t="shared" si="11"/>
        <v>16.399999999999963</v>
      </c>
      <c r="C172">
        <v>6.61</v>
      </c>
      <c r="D172" s="1">
        <v>0.246</v>
      </c>
      <c r="F172">
        <f>1-EXP(-D172*($J$1+$J$2*D172+$J$3*(B172-C172)+D172*(B172-C172)))</f>
        <v>0.92918839929930752</v>
      </c>
      <c r="G172">
        <f t="shared" si="8"/>
        <v>9.0967544291401872</v>
      </c>
      <c r="H172">
        <f>F172*(($J$1/D172)+$J$2+($J$3*(B172-C172))/D172)</f>
        <v>31.557655440918008</v>
      </c>
      <c r="I172">
        <f>-F172*(1/(D172^2)) + (1/D172)*($J$1+$J$2*D172+$J$3*(B172-C172)+D172*(B172-C172))*(1-F172)</f>
        <v>-12.256233508423524</v>
      </c>
      <c r="J172">
        <f t="shared" si="9"/>
        <v>19.301421932494485</v>
      </c>
      <c r="L172" s="3">
        <f t="shared" si="10"/>
        <v>0.6796711763002603</v>
      </c>
    </row>
    <row r="173" spans="2:12" x14ac:dyDescent="0.75">
      <c r="B173">
        <f t="shared" si="11"/>
        <v>16.499999999999964</v>
      </c>
      <c r="C173">
        <v>6.65</v>
      </c>
      <c r="D173" s="1">
        <v>0.245</v>
      </c>
      <c r="F173">
        <f>1-EXP(-D173*($J$1+$J$2*D173+$J$3*(B173-C173)+D173*(B173-C173)))</f>
        <v>0.92929118273039879</v>
      </c>
      <c r="G173">
        <f t="shared" si="8"/>
        <v>9.1535181498943956</v>
      </c>
      <c r="H173">
        <f>F173*(($J$1/D173)+$J$2+($J$3*(B173-C173))/D173)</f>
        <v>31.860463723018945</v>
      </c>
      <c r="I173">
        <f>-F173*(1/(D173^2)) + (1/D173)*($J$1+$J$2*D173+$J$3*(B173-C173)+D173*(B173-C173))*(1-F173)</f>
        <v>-12.361023651012594</v>
      </c>
      <c r="J173">
        <f t="shared" si="9"/>
        <v>19.499440072006351</v>
      </c>
      <c r="L173" s="3">
        <f t="shared" si="10"/>
        <v>0.68053846032211962</v>
      </c>
    </row>
    <row r="174" spans="2:12" x14ac:dyDescent="0.75">
      <c r="B174">
        <f t="shared" si="11"/>
        <v>16.599999999999966</v>
      </c>
      <c r="C174">
        <v>6.68</v>
      </c>
      <c r="D174" s="1">
        <v>0.24299999999999999</v>
      </c>
      <c r="F174">
        <f>1-EXP(-D174*($J$1+$J$2*D174+$J$3*(B174-C174)+D174*(B174-C174)))</f>
        <v>0.9286129308228932</v>
      </c>
      <c r="G174">
        <f t="shared" si="8"/>
        <v>9.2118402737630696</v>
      </c>
      <c r="H174">
        <f>F174*(($J$1/D174)+$J$2+($J$3*(B174-C174))/D174)</f>
        <v>32.299488819978166</v>
      </c>
      <c r="I174">
        <f>-F174*(1/(D174^2)) + (1/D174)*($J$1+$J$2*D174+$J$3*(B174-C174)+D174*(B174-C174))*(1-F174)</f>
        <v>-12.534960329205024</v>
      </c>
      <c r="J174">
        <f t="shared" si="9"/>
        <v>19.764528490773142</v>
      </c>
      <c r="L174" s="3">
        <f t="shared" si="10"/>
        <v>0.68209128104977335</v>
      </c>
    </row>
    <row r="175" spans="2:12" x14ac:dyDescent="0.75">
      <c r="B175">
        <f t="shared" si="11"/>
        <v>16.699999999999967</v>
      </c>
      <c r="C175">
        <v>6.72</v>
      </c>
      <c r="D175" s="1">
        <v>0.24199999999999999</v>
      </c>
      <c r="F175">
        <f>1-EXP(-D175*($J$1+$J$2*D175+$J$3*(B175-C175)+D175*(B175-C175)))</f>
        <v>0.92869343784767899</v>
      </c>
      <c r="G175">
        <f t="shared" si="8"/>
        <v>9.2683605097198072</v>
      </c>
      <c r="H175">
        <f>F175*(($J$1/D175)+$J$2+($J$3*(B175-C175))/D175)</f>
        <v>32.608268639402858</v>
      </c>
      <c r="I175">
        <f>-F175*(1/(D175^2)) + (1/D175)*($J$1+$J$2*D175+$J$3*(B175-C175)+D175*(B175-C175))*(1-F175)</f>
        <v>-12.642398527028657</v>
      </c>
      <c r="J175">
        <f t="shared" si="9"/>
        <v>19.965870112374201</v>
      </c>
      <c r="L175" s="3">
        <f t="shared" si="10"/>
        <v>0.68296205124977127</v>
      </c>
    </row>
    <row r="176" spans="2:12" x14ac:dyDescent="0.75">
      <c r="B176">
        <f t="shared" si="11"/>
        <v>16.799999999999969</v>
      </c>
      <c r="C176">
        <v>6.76</v>
      </c>
      <c r="D176" s="1">
        <v>0.24</v>
      </c>
      <c r="F176">
        <f>1-EXP(-D176*($J$1+$J$2*D176+$J$3*(B176-C176)+D176*(B176-C176)))</f>
        <v>0.92780496480067209</v>
      </c>
      <c r="G176">
        <f t="shared" si="8"/>
        <v>9.3151618465987198</v>
      </c>
      <c r="H176">
        <f>F176*(($J$1/D176)+$J$2+($J$3*(B176-C176))/D176)</f>
        <v>33.022125038863834</v>
      </c>
      <c r="I176">
        <f>-F176*(1/(D176^2)) + (1/D176)*($J$1+$J$2*D176+$J$3*(B176-C176)+D176*(B176-C176))*(1-F176)</f>
        <v>-12.813345302141013</v>
      </c>
      <c r="J176">
        <f t="shared" si="9"/>
        <v>20.208779736722821</v>
      </c>
      <c r="L176" s="3">
        <f t="shared" si="10"/>
        <v>0.6844878648635121</v>
      </c>
    </row>
    <row r="177" spans="2:12" x14ac:dyDescent="0.75">
      <c r="B177">
        <f t="shared" si="11"/>
        <v>16.89999999999997</v>
      </c>
      <c r="C177">
        <v>6.79</v>
      </c>
      <c r="D177" s="1">
        <v>0.23899999999999999</v>
      </c>
      <c r="F177">
        <f>1-EXP(-D177*($J$1+$J$2*D177+$J$3*(B177-C177)+D177*(B177-C177)))</f>
        <v>0.92803438618864598</v>
      </c>
      <c r="G177">
        <f t="shared" si="8"/>
        <v>9.3824276443671835</v>
      </c>
      <c r="H177">
        <f>F177*(($J$1/D177)+$J$2+($J$3*(B177-C177))/D177)</f>
        <v>33.372155357234256</v>
      </c>
      <c r="I177">
        <f>-F177*(1/(D177^2)) + (1/D177)*($J$1+$J$2*D177+$J$3*(B177-C177)+D177*(B177-C177))*(1-F177)</f>
        <v>-12.931357326081983</v>
      </c>
      <c r="J177">
        <f t="shared" si="9"/>
        <v>20.440798031152273</v>
      </c>
      <c r="L177" s="3">
        <f t="shared" si="10"/>
        <v>0.68539863036784798</v>
      </c>
    </row>
    <row r="178" spans="2:12" x14ac:dyDescent="0.75">
      <c r="B178">
        <f t="shared" si="11"/>
        <v>16.999999999999972</v>
      </c>
      <c r="C178">
        <v>6.83</v>
      </c>
      <c r="D178" s="1">
        <v>0.23699999999999999</v>
      </c>
      <c r="F178">
        <f>1-EXP(-D178*($J$1+$J$2*D178+$J$3*(B178-C178)+D178*(B178-C178)))</f>
        <v>0.92710714676802652</v>
      </c>
      <c r="G178">
        <f t="shared" si="8"/>
        <v>9.4286796826308041</v>
      </c>
      <c r="H178">
        <f>F178*(($J$1/D178)+$J$2+($J$3*(B178-C178))/D178)</f>
        <v>33.795793790845273</v>
      </c>
      <c r="I178">
        <f>-F178*(1/(D178^2)) + (1/D178)*($J$1+$J$2*D178+$J$3*(B178-C178)+D178*(B178-C178))*(1-F178)</f>
        <v>-13.107192887530683</v>
      </c>
      <c r="J178">
        <f t="shared" si="9"/>
        <v>20.68860090331459</v>
      </c>
      <c r="L178" s="3">
        <f t="shared" si="10"/>
        <v>0.68693456051836188</v>
      </c>
    </row>
    <row r="179" spans="2:12" x14ac:dyDescent="0.75">
      <c r="B179">
        <f t="shared" si="11"/>
        <v>17.099999999999973</v>
      </c>
      <c r="C179">
        <v>6.86</v>
      </c>
      <c r="D179" s="1">
        <v>0.23599999999999999</v>
      </c>
      <c r="F179">
        <f>1-EXP(-D179*($J$1+$J$2*D179+$J$3*(B179-C179)+D179*(B179-C179)))</f>
        <v>0.92731293549107718</v>
      </c>
      <c r="G179">
        <f t="shared" si="8"/>
        <v>9.4956844594286061</v>
      </c>
      <c r="H179">
        <f>F179*(($J$1/D179)+$J$2+($J$3*(B179-C179))/D179)</f>
        <v>34.15262107076834</v>
      </c>
      <c r="I179">
        <f>-F179*(1/(D179^2)) + (1/D179)*($J$1+$J$2*D179+$J$3*(B179-C179)+D179*(B179-C179))*(1-F179)</f>
        <v>-13.228187307902399</v>
      </c>
      <c r="J179">
        <f t="shared" si="9"/>
        <v>20.924433762865942</v>
      </c>
      <c r="L179" s="3">
        <f t="shared" si="10"/>
        <v>0.68784853530025636</v>
      </c>
    </row>
    <row r="180" spans="2:12" x14ac:dyDescent="0.75">
      <c r="B180">
        <f t="shared" si="11"/>
        <v>17.199999999999974</v>
      </c>
      <c r="C180">
        <v>6.9</v>
      </c>
      <c r="D180" s="1">
        <v>0.23400000000000001</v>
      </c>
      <c r="F180">
        <f>1-EXP(-D180*($J$1+$J$2*D180+$J$3*(B180-C180)+D180*(B180-C180)))</f>
        <v>0.92634583600047948</v>
      </c>
      <c r="G180">
        <f t="shared" si="8"/>
        <v>9.5413621108049149</v>
      </c>
      <c r="H180">
        <f>F180*(($J$1/D180)+$J$2+($J$3*(B180-C180))/D180)</f>
        <v>34.586348997373371</v>
      </c>
      <c r="I180">
        <f>-F180*(1/(D180^2)) + (1/D180)*($J$1+$J$2*D180+$J$3*(B180-C180)+D180*(B180-C180))*(1-F180)</f>
        <v>-13.409090975233692</v>
      </c>
      <c r="J180">
        <f t="shared" si="9"/>
        <v>21.177258022139679</v>
      </c>
      <c r="L180" s="3">
        <f t="shared" si="10"/>
        <v>0.68939483383330247</v>
      </c>
    </row>
    <row r="181" spans="2:12" x14ac:dyDescent="0.75">
      <c r="B181">
        <f t="shared" si="11"/>
        <v>17.299999999999976</v>
      </c>
      <c r="C181">
        <v>6.93</v>
      </c>
      <c r="D181" s="1">
        <v>0.23300000000000001</v>
      </c>
      <c r="F181">
        <f>1-EXP(-D181*($J$1+$J$2*D181+$J$3*(B181-C181)+D181*(B181-C181)))</f>
        <v>0.92652785175355223</v>
      </c>
      <c r="G181">
        <f t="shared" si="8"/>
        <v>9.6080938226843138</v>
      </c>
      <c r="H181">
        <f>F181*(($J$1/D181)+$J$2+($J$3*(B181-C181))/D181)</f>
        <v>34.950181408754155</v>
      </c>
      <c r="I181">
        <f>-F181*(1/(D181^2)) + (1/D181)*($J$1+$J$2*D181+$J$3*(B181-C181)+D181*(B181-C181))*(1-F181)</f>
        <v>-13.533186755938045</v>
      </c>
      <c r="J181">
        <f t="shared" si="9"/>
        <v>21.416994652816108</v>
      </c>
      <c r="L181" s="3">
        <f t="shared" si="10"/>
        <v>0.69031212174393841</v>
      </c>
    </row>
    <row r="182" spans="2:12" x14ac:dyDescent="0.75">
      <c r="B182">
        <f t="shared" si="11"/>
        <v>17.399999999999977</v>
      </c>
      <c r="C182">
        <v>6.96</v>
      </c>
      <c r="D182" s="1">
        <v>0.23100000000000001</v>
      </c>
      <c r="F182">
        <f>1-EXP(-D182*($J$1+$J$2*D182+$J$3*(B182-C182)+D182*(B182-C182)))</f>
        <v>0.92568830149083225</v>
      </c>
      <c r="G182">
        <f t="shared" si="8"/>
        <v>9.6641858675642673</v>
      </c>
      <c r="H182">
        <f>F182*(($J$1/D182)+$J$2+($J$3*(B182-C182))/D182)</f>
        <v>35.430819922278147</v>
      </c>
      <c r="I182">
        <f>-F182*(1/(D182^2)) + (1/D182)*($J$1+$J$2*D182+$J$3*(B182-C182)+D182*(B182-C182))*(1-F182)</f>
        <v>-13.727554120848906</v>
      </c>
      <c r="J182">
        <f t="shared" si="9"/>
        <v>21.703265801429239</v>
      </c>
      <c r="L182" s="3">
        <f t="shared" si="10"/>
        <v>0.69190401663654288</v>
      </c>
    </row>
    <row r="183" spans="2:12" x14ac:dyDescent="0.75">
      <c r="B183">
        <f t="shared" si="11"/>
        <v>17.499999999999979</v>
      </c>
      <c r="C183">
        <v>7</v>
      </c>
      <c r="D183" s="1">
        <v>0.23</v>
      </c>
      <c r="F183">
        <f>1-EXP(-D183*($J$1+$J$2*D183+$J$3*(B183-C183)+D183*(B183-C183)))</f>
        <v>0.92567775665584529</v>
      </c>
      <c r="G183">
        <f t="shared" si="8"/>
        <v>9.7196164448863556</v>
      </c>
      <c r="H183">
        <f>F183*(($J$1/D183)+$J$2+($J$3*(B183-C183))/D183)</f>
        <v>35.76537123705284</v>
      </c>
      <c r="I183">
        <f>-F183*(1/(D183^2)) + (1/D183)*($J$1+$J$2*D183+$J$3*(B183-C183)+D183*(B183-C183))*(1-F183)</f>
        <v>-13.846665501520487</v>
      </c>
      <c r="J183">
        <f t="shared" si="9"/>
        <v>21.918705735532352</v>
      </c>
      <c r="L183" s="3">
        <f t="shared" si="10"/>
        <v>0.69278976333005649</v>
      </c>
    </row>
    <row r="184" spans="2:12" x14ac:dyDescent="0.75">
      <c r="B184">
        <f t="shared" si="11"/>
        <v>17.59999999999998</v>
      </c>
      <c r="C184">
        <v>7.04</v>
      </c>
      <c r="D184" s="1">
        <v>0.22900000000000001</v>
      </c>
      <c r="F184">
        <f>1-EXP(-D184*($J$1+$J$2*D184+$J$3*(B184-C184)+D184*(B184-C184)))</f>
        <v>0.9256579850529304</v>
      </c>
      <c r="G184">
        <f t="shared" si="8"/>
        <v>9.7749483221589273</v>
      </c>
      <c r="H184">
        <f>F184*(($J$1/D184)+$J$2+($J$3*(B184-C184))/D184)</f>
        <v>36.102480395637471</v>
      </c>
      <c r="I184">
        <f>-F184*(1/(D184^2)) + (1/D184)*($J$1+$J$2*D184+$J$3*(B184-C184)+D184*(B184-C184))*(1-F184)</f>
        <v>-13.966881151063021</v>
      </c>
      <c r="J184">
        <f t="shared" si="9"/>
        <v>22.13559924457445</v>
      </c>
      <c r="L184" s="3">
        <f t="shared" si="10"/>
        <v>0.6936765719323077</v>
      </c>
    </row>
    <row r="185" spans="2:12" x14ac:dyDescent="0.75">
      <c r="B185">
        <f t="shared" si="11"/>
        <v>17.699999999999982</v>
      </c>
      <c r="C185">
        <v>7.07</v>
      </c>
      <c r="D185" s="1">
        <v>0.22700000000000001</v>
      </c>
      <c r="F185">
        <f>1-EXP(-D185*($J$1+$J$2*D185+$J$3*(B185-C185)+D185*(B185-C185)))</f>
        <v>0.92476112448730685</v>
      </c>
      <c r="G185">
        <f t="shared" si="8"/>
        <v>9.8302107533000544</v>
      </c>
      <c r="H185">
        <f>F185*(($J$1/D185)+$J$2+($J$3*(B185-C185))/D185)</f>
        <v>36.598745498789775</v>
      </c>
      <c r="I185">
        <f>-F185*(1/(D185^2)) + (1/D185)*($J$1+$J$2*D185+$J$3*(B185-C185)+D185*(B185-C185))*(1-F185)</f>
        <v>-14.168945471506291</v>
      </c>
      <c r="J185">
        <f t="shared" si="9"/>
        <v>22.429800027283484</v>
      </c>
      <c r="L185" s="3">
        <f t="shared" si="10"/>
        <v>0.69528185157282696</v>
      </c>
    </row>
    <row r="186" spans="2:12" x14ac:dyDescent="0.75">
      <c r="B186">
        <f t="shared" si="11"/>
        <v>17.799999999999983</v>
      </c>
      <c r="C186">
        <v>7.11</v>
      </c>
      <c r="D186" s="1">
        <v>0.22600000000000001</v>
      </c>
      <c r="F186">
        <f>1-EXP(-D186*($J$1+$J$2*D186+$J$3*(B186-C186)+D186*(B186-C186)))</f>
        <v>0.92471777591703275</v>
      </c>
      <c r="G186">
        <f t="shared" si="8"/>
        <v>9.8852330245530649</v>
      </c>
      <c r="H186">
        <f>F186*(($J$1/D186)+$J$2+($J$3*(B186-C186))/D186)</f>
        <v>36.942884315042896</v>
      </c>
      <c r="I186">
        <f>-F186*(1/(D186^2)) + (1/D186)*($J$1+$J$2*D186+$J$3*(B186-C186)+D186*(B186-C186))*(1-F186)</f>
        <v>-14.292416343375351</v>
      </c>
      <c r="J186">
        <f t="shared" si="9"/>
        <v>22.650467971667545</v>
      </c>
      <c r="L186" s="3">
        <f t="shared" si="10"/>
        <v>0.69617273573723382</v>
      </c>
    </row>
    <row r="187" spans="2:12" x14ac:dyDescent="0.75">
      <c r="B187">
        <f t="shared" si="11"/>
        <v>17.899999999999984</v>
      </c>
      <c r="C187">
        <v>7.15</v>
      </c>
      <c r="D187" s="1">
        <v>0.22500000000000001</v>
      </c>
      <c r="F187">
        <f>1-EXP(-D187*($J$1+$J$2*D187+$J$3*(B187-C187)+D187*(B187-C187)))</f>
        <v>0.92466515483369005</v>
      </c>
      <c r="G187">
        <f t="shared" si="8"/>
        <v>9.9401504144621526</v>
      </c>
      <c r="H187">
        <f>F187*(($J$1/D187)+$J$2+($J$3*(B187-C187))/D187)</f>
        <v>37.289690882987486</v>
      </c>
      <c r="I187">
        <f>-F187*(1/(D187^2)) + (1/D187)*($J$1+$J$2*D187+$J$3*(B187-C187)+D187*(B187-C187))*(1-F187)</f>
        <v>-14.417054232436177</v>
      </c>
      <c r="J187">
        <f t="shared" si="9"/>
        <v>22.872636650551307</v>
      </c>
      <c r="L187" s="3">
        <f t="shared" si="10"/>
        <v>0.69706473288089543</v>
      </c>
    </row>
    <row r="188" spans="2:12" x14ac:dyDescent="0.75">
      <c r="B188">
        <f t="shared" si="11"/>
        <v>17.999999999999986</v>
      </c>
      <c r="C188">
        <v>7.18</v>
      </c>
      <c r="D188" s="1">
        <v>0.223</v>
      </c>
      <c r="F188">
        <f>1-EXP(-D188*($J$1+$J$2*D188+$J$3*(B188-C188)+D188*(B188-C188)))</f>
        <v>0.92370891813299372</v>
      </c>
      <c r="G188">
        <f t="shared" si="8"/>
        <v>9.9945304941989797</v>
      </c>
      <c r="H188">
        <f>F188*(($J$1/D188)+$J$2+($J$3*(B188-C188))/D188)</f>
        <v>37.802269700535476</v>
      </c>
      <c r="I188">
        <f>-F188*(1/(D188^2)) + (1/D188)*($J$1+$J$2*D188+$J$3*(B188-C188)+D188*(B188-C188))*(1-F188)</f>
        <v>-14.627214804579751</v>
      </c>
      <c r="J188">
        <f t="shared" si="9"/>
        <v>23.175054895955725</v>
      </c>
      <c r="L188" s="3">
        <f t="shared" si="10"/>
        <v>0.69868388836824202</v>
      </c>
    </row>
    <row r="189" spans="2:12" x14ac:dyDescent="0.75">
      <c r="B189">
        <f t="shared" si="11"/>
        <v>18.099999999999987</v>
      </c>
      <c r="C189">
        <v>7.21</v>
      </c>
      <c r="D189" s="1">
        <v>0.222</v>
      </c>
      <c r="F189">
        <f>1-EXP(-D189*($J$1+$J$2*D189+$J$3*(B189-C189)+D189*(B189-C189)))</f>
        <v>0.92379681048398687</v>
      </c>
      <c r="G189">
        <f t="shared" si="8"/>
        <v>10.060147266170604</v>
      </c>
      <c r="H189">
        <f>F189*(($J$1/D189)+$J$2+($J$3*(B189-C189))/D189)</f>
        <v>38.194420741929335</v>
      </c>
      <c r="I189">
        <f>-F189*(1/(D189^2)) + (1/D189)*($J$1+$J$2*D189+$J$3*(B189-C189)+D189*(B189-C189))*(1-F189)</f>
        <v>-14.763878341757714</v>
      </c>
      <c r="J189">
        <f t="shared" si="9"/>
        <v>23.430542400171621</v>
      </c>
      <c r="L189" s="3">
        <f t="shared" si="10"/>
        <v>0.69961361302508673</v>
      </c>
    </row>
    <row r="190" spans="2:12" x14ac:dyDescent="0.75">
      <c r="B190">
        <f t="shared" si="11"/>
        <v>18.199999999999989</v>
      </c>
      <c r="C190">
        <v>7.25</v>
      </c>
      <c r="D190" s="1">
        <v>0.221</v>
      </c>
      <c r="F190">
        <f>1-EXP(-D190*($J$1+$J$2*D190+$J$3*(B190-C190)+D190*(B190-C190)))</f>
        <v>0.92371000679896431</v>
      </c>
      <c r="G190">
        <f t="shared" si="8"/>
        <v>10.11462457444865</v>
      </c>
      <c r="H190">
        <f>F190*(($J$1/D190)+$J$2+($J$3*(B190-C190))/D190)</f>
        <v>38.551517797332941</v>
      </c>
      <c r="I190">
        <f>-F190*(1/(D190^2)) + (1/D190)*($J$1+$J$2*D190+$J$3*(B190-C190)+D190*(B190-C190))*(1-F190)</f>
        <v>-14.893216076230036</v>
      </c>
      <c r="J190">
        <f t="shared" si="9"/>
        <v>23.658301721102905</v>
      </c>
      <c r="L190" s="3">
        <f t="shared" si="10"/>
        <v>0.70051086228258186</v>
      </c>
    </row>
    <row r="191" spans="2:12" x14ac:dyDescent="0.75">
      <c r="B191">
        <f t="shared" si="11"/>
        <v>18.29999999999999</v>
      </c>
      <c r="C191">
        <v>7.28</v>
      </c>
      <c r="D191" s="1">
        <v>0.219</v>
      </c>
      <c r="F191">
        <f>1-EXP(-D191*($J$1+$J$2*D191+$J$3*(B191-C191)+D191*(B191-C191)))</f>
        <v>0.92269242010143726</v>
      </c>
      <c r="G191">
        <f t="shared" si="8"/>
        <v>10.168070469517829</v>
      </c>
      <c r="H191">
        <f>F191*(($J$1/D191)+$J$2+($J$3*(B191-C191))/D191)</f>
        <v>39.081501160912879</v>
      </c>
      <c r="I191">
        <f>-F191*(1/(D191^2)) + (1/D191)*($J$1+$J$2*D191+$J$3*(B191-C191)+D191*(B191-C191))*(1-F191)</f>
        <v>-15.112025501314122</v>
      </c>
      <c r="J191">
        <f t="shared" si="9"/>
        <v>23.969475659598757</v>
      </c>
      <c r="L191" s="3">
        <f t="shared" si="10"/>
        <v>0.7021440723636172</v>
      </c>
    </row>
    <row r="192" spans="2:12" x14ac:dyDescent="0.75">
      <c r="B192">
        <f t="shared" si="11"/>
        <v>18.399999999999991</v>
      </c>
      <c r="C192">
        <v>7.32</v>
      </c>
      <c r="D192" s="1">
        <v>0.218</v>
      </c>
      <c r="F192">
        <f>1-EXP(-D192*($J$1+$J$2*D192+$J$3*(B192-C192)+D192*(B192-C192)))</f>
        <v>0.92258092796351587</v>
      </c>
      <c r="G192">
        <f t="shared" si="8"/>
        <v>10.222196681835747</v>
      </c>
      <c r="H192">
        <f>F192*(($J$1/D192)+$J$2+($J$3*(B192-C192))/D192)</f>
        <v>39.446259502087749</v>
      </c>
      <c r="I192">
        <f>-F192*(1/(D192^2)) + (1/D192)*($J$1+$J$2*D192+$J$3*(B192-C192)+D192*(B192-C192))*(1-F192)</f>
        <v>-15.244981896479633</v>
      </c>
      <c r="J192">
        <f t="shared" si="9"/>
        <v>24.201277605608116</v>
      </c>
      <c r="L192" s="3">
        <f t="shared" si="10"/>
        <v>0.70304575893536847</v>
      </c>
    </row>
    <row r="193" spans="2:12" x14ac:dyDescent="0.75">
      <c r="B193">
        <f t="shared" si="11"/>
        <v>18.499999999999993</v>
      </c>
      <c r="C193">
        <v>7.35</v>
      </c>
      <c r="D193" s="1">
        <v>0.217</v>
      </c>
      <c r="F193">
        <f>1-EXP(-D193*($J$1+$J$2*D193+$J$3*(B193-C193)+D193*(B193-C193)))</f>
        <v>0.9226225047725175</v>
      </c>
      <c r="G193">
        <f t="shared" si="8"/>
        <v>10.287240928213564</v>
      </c>
      <c r="H193">
        <f>F193*(($J$1/D193)+$J$2+($J$3*(B193-C193))/D193)</f>
        <v>39.852827903730287</v>
      </c>
      <c r="I193">
        <f>-F193*(1/(D193^2)) + (1/D193)*($J$1+$J$2*D193+$J$3*(B193-C193)+D193*(B193-C193))*(1-F193)</f>
        <v>-15.388071651551805</v>
      </c>
      <c r="J193">
        <f t="shared" si="9"/>
        <v>24.464756252178482</v>
      </c>
      <c r="L193" s="3">
        <f t="shared" si="10"/>
        <v>0.70398130286400107</v>
      </c>
    </row>
    <row r="194" spans="2:12" x14ac:dyDescent="0.75">
      <c r="B194">
        <f t="shared" si="11"/>
        <v>18.599999999999994</v>
      </c>
      <c r="C194">
        <v>7.39</v>
      </c>
      <c r="D194" s="1">
        <v>0.216</v>
      </c>
      <c r="F194">
        <f>1-EXP(-D194*($J$1+$J$2*D194+$J$3*(B194-C194)+D194*(B194-C194)))</f>
        <v>0.92249141387114197</v>
      </c>
      <c r="G194">
        <f t="shared" si="8"/>
        <v>10.341128749495496</v>
      </c>
      <c r="H194">
        <f>F194*(($J$1/D194)+$J$2+($J$3*(B194-C194))/D194)</f>
        <v>40.223615200289693</v>
      </c>
      <c r="I194">
        <f>-F194*(1/(D194^2)) + (1/D194)*($J$1+$J$2*D194+$J$3*(B194-C194)+D194*(B194-C194))*(1-F194)</f>
        <v>-15.523695721714695</v>
      </c>
      <c r="J194">
        <f t="shared" si="9"/>
        <v>24.699919478574998</v>
      </c>
      <c r="L194" s="3">
        <f t="shared" si="10"/>
        <v>0.70488529103956765</v>
      </c>
    </row>
    <row r="195" spans="2:12" x14ac:dyDescent="0.75">
      <c r="B195">
        <f t="shared" si="11"/>
        <v>18.699999999999996</v>
      </c>
      <c r="C195">
        <v>7.42</v>
      </c>
      <c r="D195" s="1">
        <v>0.214</v>
      </c>
      <c r="F195">
        <f>1-EXP(-D195*($J$1+$J$2*D195+$J$3*(B195-C195)+D195*(B195-C195)))</f>
        <v>0.92139411267513138</v>
      </c>
      <c r="G195">
        <f t="shared" si="8"/>
        <v>10.393325590975477</v>
      </c>
      <c r="H195">
        <f>F195*(($J$1/D195)+$J$2+($J$3*(B195-C195))/D195)</f>
        <v>40.77685618183348</v>
      </c>
      <c r="I195">
        <f>-F195*(1/(D195^2)) + (1/D195)*($J$1+$J$2*D195+$J$3*(B195-C195)+D195*(B195-C195))*(1-F195)</f>
        <v>-15.754106846508233</v>
      </c>
      <c r="J195">
        <f t="shared" si="9"/>
        <v>25.022749335325248</v>
      </c>
      <c r="L195" s="3">
        <f t="shared" si="10"/>
        <v>0.70653649190082402</v>
      </c>
    </row>
    <row r="196" spans="2:12" x14ac:dyDescent="0.75">
      <c r="B196">
        <f t="shared" si="11"/>
        <v>18.799999999999997</v>
      </c>
      <c r="C196">
        <v>7.46</v>
      </c>
      <c r="D196" s="1">
        <v>0.21299999999999999</v>
      </c>
      <c r="F196">
        <f>1-EXP(-D196*($J$1+$J$2*D196+$J$3*(B196-C196)+D196*(B196-C196)))</f>
        <v>0.92123747056534844</v>
      </c>
      <c r="G196">
        <f t="shared" si="8"/>
        <v>10.446832916211047</v>
      </c>
      <c r="H196">
        <f>F196*(($J$1/D196)+$J$2+($J$3*(B196-C196))/D196)</f>
        <v>41.15574336518852</v>
      </c>
      <c r="I196">
        <f>-F196*(1/(D196^2)) + (1/D196)*($J$1+$J$2*D196+$J$3*(B196-C196)+D196*(B196-C196))*(1-F196)</f>
        <v>-15.893602324851027</v>
      </c>
      <c r="J196">
        <f t="shared" si="9"/>
        <v>25.262141040337493</v>
      </c>
      <c r="L196" s="3">
        <f t="shared" si="10"/>
        <v>0.70744516689493842</v>
      </c>
    </row>
    <row r="197" spans="2:12" x14ac:dyDescent="0.75">
      <c r="B197">
        <f t="shared" si="11"/>
        <v>18.899999999999999</v>
      </c>
      <c r="C197">
        <v>7.49</v>
      </c>
      <c r="D197" s="1">
        <v>0.21199999999999999</v>
      </c>
      <c r="F197">
        <f>1-EXP(-D197*($J$1+$J$2*D197+$J$3*(B197-C197)+D197*(B197-C197)))</f>
        <v>0.92123198298876519</v>
      </c>
      <c r="G197">
        <f t="shared" si="8"/>
        <v>10.51125692590181</v>
      </c>
      <c r="H197">
        <f>F197*(($J$1/D197)+$J$2+($J$3*(B197-C197))/D197)</f>
        <v>41.577545926579262</v>
      </c>
      <c r="I197">
        <f>-F197*(1/(D197^2)) + (1/D197)*($J$1+$J$2*D197+$J$3*(B197-C197)+D197*(B197-C197))*(1-F197)</f>
        <v>-16.043585314851253</v>
      </c>
      <c r="J197">
        <f t="shared" si="9"/>
        <v>25.533960611728009</v>
      </c>
      <c r="L197" s="3">
        <f t="shared" si="10"/>
        <v>0.70838691943172594</v>
      </c>
    </row>
    <row r="198" spans="2:12" x14ac:dyDescent="0.75">
      <c r="B198">
        <f t="shared" si="11"/>
        <v>19</v>
      </c>
      <c r="C198">
        <v>7.53</v>
      </c>
      <c r="D198" s="1">
        <v>0.21099999999999999</v>
      </c>
      <c r="F198">
        <f>1-EXP(-D198*($J$1+$J$2*D198+$J$3*(B198-C198)+D198*(B198-C198)))</f>
        <v>0.92105543802446321</v>
      </c>
      <c r="G198">
        <f t="shared" si="8"/>
        <v>10.564505874140592</v>
      </c>
      <c r="H198">
        <f>F198*(($J$1/D198)+$J$2+($J$3*(B198-C198))/D198)</f>
        <v>41.962805585313113</v>
      </c>
      <c r="I198">
        <f>-F198*(1/(D198^2)) + (1/D198)*($J$1+$J$2*D198+$J$3*(B198-C198)+D198*(B198-C198))*(1-F198)</f>
        <v>-16.185944868956256</v>
      </c>
      <c r="J198">
        <f t="shared" si="9"/>
        <v>25.776860716356857</v>
      </c>
      <c r="L198" s="3">
        <f t="shared" si="10"/>
        <v>0.70929805713737237</v>
      </c>
    </row>
    <row r="199" spans="2:12" x14ac:dyDescent="0.75">
      <c r="B199">
        <f t="shared" si="11"/>
        <v>19.100000000000001</v>
      </c>
      <c r="C199">
        <v>7.56</v>
      </c>
      <c r="D199" s="1">
        <v>0.20899999999999999</v>
      </c>
      <c r="F199">
        <f>1-EXP(-D199*($J$1+$J$2*D199+$J$3*(B199-C199)+D199*(B199-C199)))</f>
        <v>0.91987423290030612</v>
      </c>
      <c r="G199">
        <f t="shared" si="8"/>
        <v>10.615348647669535</v>
      </c>
      <c r="H199">
        <f>F199*(($J$1/D199)+$J$2+($J$3*(B199-C199))/D199)</f>
        <v>42.540662221943847</v>
      </c>
      <c r="I199">
        <f>-F199*(1/(D199^2)) + (1/D199)*($J$1+$J$2*D199+$J$3*(B199-C199)+D199*(B199-C199))*(1-F199)</f>
        <v>-16.428748281767543</v>
      </c>
      <c r="J199">
        <f t="shared" si="9"/>
        <v>26.111913940176304</v>
      </c>
      <c r="L199" s="3">
        <f t="shared" si="10"/>
        <v>0.71096815009615022</v>
      </c>
    </row>
    <row r="200" spans="2:12" x14ac:dyDescent="0.75">
      <c r="B200">
        <f t="shared" si="11"/>
        <v>19.200000000000003</v>
      </c>
      <c r="C200">
        <v>7.59</v>
      </c>
      <c r="D200" s="1">
        <v>0.20799999999999999</v>
      </c>
      <c r="F200">
        <f>1-EXP(-D200*($J$1+$J$2*D200+$J$3*(B200-C200)+D200*(B200-C200)))</f>
        <v>0.91983098937769525</v>
      </c>
      <c r="G200">
        <f t="shared" si="8"/>
        <v>10.679237786675044</v>
      </c>
      <c r="H200">
        <f>F200*(($J$1/D200)+$J$2+($J$3*(B200-C200))/D200)</f>
        <v>42.975122940738018</v>
      </c>
      <c r="I200">
        <f>-F200*(1/(D200^2)) + (1/D200)*($J$1+$J$2*D200+$J$3*(B200-C200)+D200*(B200-C200))*(1-F200)</f>
        <v>-16.58457405437531</v>
      </c>
      <c r="J200">
        <f t="shared" si="9"/>
        <v>26.390548886362708</v>
      </c>
      <c r="L200" s="3">
        <f t="shared" si="10"/>
        <v>0.71191531581047762</v>
      </c>
    </row>
    <row r="201" spans="2:12" x14ac:dyDescent="0.75">
      <c r="B201">
        <f t="shared" si="11"/>
        <v>19.300000000000004</v>
      </c>
      <c r="C201">
        <v>7.63</v>
      </c>
      <c r="D201" s="1">
        <v>0.20699999999999999</v>
      </c>
      <c r="F201">
        <f>1-EXP(-D201*($J$1+$J$2*D201+$J$3*(B201-C201)+D201*(B201-C201)))</f>
        <v>0.91961741895989002</v>
      </c>
      <c r="G201">
        <f t="shared" ref="G201:G264" si="12">F201*(B201-C201)</f>
        <v>10.731935279261922</v>
      </c>
      <c r="H201">
        <f>F201*(($J$1/D201)+$J$2+($J$3*(B201-C201))/D201)</f>
        <v>43.372400573394046</v>
      </c>
      <c r="I201">
        <f>-F201*(1/(D201^2)) + (1/D201)*($J$1+$J$2*D201+$J$3*(B201-C201)+D201*(B201-C201))*(1-F201)</f>
        <v>-16.732626803667394</v>
      </c>
      <c r="J201">
        <f t="shared" ref="J201:J264" si="13">H201+I201</f>
        <v>26.639773769726652</v>
      </c>
      <c r="L201" s="3">
        <f t="shared" ref="L201:L264" si="14">J201/(G201+J201)</f>
        <v>0.71283263323082158</v>
      </c>
    </row>
    <row r="202" spans="2:12" x14ac:dyDescent="0.75">
      <c r="B202">
        <f t="shared" ref="B202:B265" si="15">B201+0.1</f>
        <v>19.400000000000006</v>
      </c>
      <c r="C202">
        <v>7.67</v>
      </c>
      <c r="D202" s="1">
        <v>0.20599999999999999</v>
      </c>
      <c r="F202">
        <f>1-EXP(-D202*($J$1+$J$2*D202+$J$3*(B202-C202)+D202*(B202-C202)))</f>
        <v>0.91939391048272701</v>
      </c>
      <c r="G202">
        <f t="shared" si="12"/>
        <v>10.784490569962394</v>
      </c>
      <c r="H202">
        <f>F202*(($J$1/D202)+$J$2+($J$3*(B202-C202))/D202)</f>
        <v>43.772968908895606</v>
      </c>
      <c r="I202">
        <f>-F202*(1/(D202^2)) + (1/D202)*($J$1+$J$2*D202+$J$3*(B202-C202)+D202*(B202-C202))*(1-F202)</f>
        <v>-16.882203339795076</v>
      </c>
      <c r="J202">
        <f t="shared" si="13"/>
        <v>26.89076556910053</v>
      </c>
      <c r="L202" s="3">
        <f t="shared" si="14"/>
        <v>0.71375136694078944</v>
      </c>
    </row>
    <row r="203" spans="2:12" x14ac:dyDescent="0.75">
      <c r="B203">
        <f t="shared" si="15"/>
        <v>19.500000000000007</v>
      </c>
      <c r="C203">
        <v>7.7</v>
      </c>
      <c r="D203" s="1">
        <v>0.20499999999999999</v>
      </c>
      <c r="F203">
        <f>1-EXP(-D203*($J$1+$J$2*D203+$J$3*(B203-C203)+D203*(B203-C203)))</f>
        <v>0.91931852225996757</v>
      </c>
      <c r="G203">
        <f t="shared" si="12"/>
        <v>10.847958562667625</v>
      </c>
      <c r="H203">
        <f>F203*(($J$1/D203)+$J$2+($J$3*(B203-C203))/D203)</f>
        <v>44.218099800555372</v>
      </c>
      <c r="I203">
        <f>-F203*(1/(D203^2)) + (1/D203)*($J$1+$J$2*D203+$J$3*(B203-C203)+D203*(B203-C203))*(1-F203)</f>
        <v>-17.042792979759966</v>
      </c>
      <c r="J203">
        <f t="shared" si="13"/>
        <v>27.175306820795406</v>
      </c>
      <c r="L203" s="3">
        <f t="shared" si="14"/>
        <v>0.71470207902276628</v>
      </c>
    </row>
    <row r="204" spans="2:12" x14ac:dyDescent="0.75">
      <c r="B204">
        <f t="shared" si="15"/>
        <v>19.600000000000009</v>
      </c>
      <c r="C204">
        <v>7.74</v>
      </c>
      <c r="D204" s="1">
        <v>0.20399999999999999</v>
      </c>
      <c r="F204">
        <f>1-EXP(-D204*($J$1+$J$2*D204+$J$3*(B204-C204)+D204*(B204-C204)))</f>
        <v>0.91907452098976405</v>
      </c>
      <c r="G204">
        <f t="shared" si="12"/>
        <v>10.90022381893861</v>
      </c>
      <c r="H204">
        <f>F204*(($J$1/D204)+$J$2+($J$3*(B204-C204))/D204)</f>
        <v>44.62557326131283</v>
      </c>
      <c r="I204">
        <f>-F204*(1/(D204^2)) + (1/D204)*($J$1+$J$2*D204+$J$3*(B204-C204)+D204*(B204-C204))*(1-F204)</f>
        <v>-17.195538549632506</v>
      </c>
      <c r="J204">
        <f t="shared" si="13"/>
        <v>27.430034711680324</v>
      </c>
      <c r="L204" s="3">
        <f t="shared" si="14"/>
        <v>0.71562352468269153</v>
      </c>
    </row>
    <row r="205" spans="2:12" x14ac:dyDescent="0.75">
      <c r="B205">
        <f t="shared" si="15"/>
        <v>19.70000000000001</v>
      </c>
      <c r="C205">
        <v>7.77</v>
      </c>
      <c r="D205" s="1">
        <v>0.20300000000000001</v>
      </c>
      <c r="F205">
        <f>1-EXP(-D205*($J$1+$J$2*D205+$J$3*(B205-C205)+D205*(B205-C205)))</f>
        <v>0.9189773326798556</v>
      </c>
      <c r="G205">
        <f t="shared" si="12"/>
        <v>10.963399578870687</v>
      </c>
      <c r="H205">
        <f>F205*(($J$1/D205)+$J$2+($J$3*(B205-C205))/D205)</f>
        <v>45.078101658914143</v>
      </c>
      <c r="I205">
        <f>-F205*(1/(D205^2)) + (1/D205)*($J$1+$J$2*D205+$J$3*(B205-C205)+D205*(B205-C205))*(1-F205)</f>
        <v>-17.359441801250423</v>
      </c>
      <c r="J205">
        <f t="shared" si="13"/>
        <v>27.71865985766372</v>
      </c>
      <c r="L205" s="3">
        <f t="shared" si="14"/>
        <v>0.71657663168481711</v>
      </c>
    </row>
    <row r="206" spans="2:12" x14ac:dyDescent="0.75">
      <c r="B206">
        <f t="shared" si="15"/>
        <v>19.800000000000011</v>
      </c>
      <c r="C206">
        <v>7.8</v>
      </c>
      <c r="D206" s="1">
        <v>0.20100000000000001</v>
      </c>
      <c r="F206">
        <f>1-EXP(-D206*($J$1+$J$2*D206+$J$3*(B206-C206)+D206*(B206-C206)))</f>
        <v>0.91765454787069345</v>
      </c>
      <c r="G206">
        <f t="shared" si="12"/>
        <v>11.011854574448332</v>
      </c>
      <c r="H206">
        <f>F206*(($J$1/D206)+$J$2+($J$3*(B206-C206))/D206)</f>
        <v>45.700337845338517</v>
      </c>
      <c r="I206">
        <f>-F206*(1/(D206^2)) + (1/D206)*($J$1+$J$2*D206+$J$3*(B206-C206)+D206*(B206-C206))*(1-F206)</f>
        <v>-17.624607901351446</v>
      </c>
      <c r="J206">
        <f t="shared" si="13"/>
        <v>28.075729943987071</v>
      </c>
      <c r="L206" s="3">
        <f t="shared" si="14"/>
        <v>0.71827743489100315</v>
      </c>
    </row>
    <row r="207" spans="2:12" x14ac:dyDescent="0.75">
      <c r="B207">
        <f t="shared" si="15"/>
        <v>19.900000000000013</v>
      </c>
      <c r="C207">
        <v>7.83</v>
      </c>
      <c r="D207" s="1">
        <v>0.2</v>
      </c>
      <c r="F207">
        <f>1-EXP(-D207*($J$1+$J$2*D207+$J$3*(B207-C207)+D207*(B207-C207)))</f>
        <v>0.91752829383170365</v>
      </c>
      <c r="G207">
        <f t="shared" si="12"/>
        <v>11.074566506548674</v>
      </c>
      <c r="H207">
        <f>F207*(($J$1/D207)+$J$2+($J$3*(B207-C207))/D207)</f>
        <v>46.16314228340763</v>
      </c>
      <c r="I207">
        <f>-F207*(1/(D207^2)) + (1/D207)*($J$1+$J$2*D207+$J$3*(B207-C207)+D207*(B207-C207))*(1-F207)</f>
        <v>-17.793416135748835</v>
      </c>
      <c r="J207">
        <f t="shared" si="13"/>
        <v>28.369726147658795</v>
      </c>
      <c r="L207" s="3">
        <f t="shared" si="14"/>
        <v>0.71923526164773632</v>
      </c>
    </row>
    <row r="208" spans="2:12" x14ac:dyDescent="0.75">
      <c r="B208">
        <f t="shared" si="15"/>
        <v>20.000000000000014</v>
      </c>
      <c r="C208">
        <v>7.87</v>
      </c>
      <c r="D208" s="1">
        <v>0.19900000000000001</v>
      </c>
      <c r="F208">
        <f>1-EXP(-D208*($J$1+$J$2*D208+$J$3*(B208-C208)+D208*(B208-C208)))</f>
        <v>0.91723439314244815</v>
      </c>
      <c r="G208">
        <f t="shared" si="12"/>
        <v>11.126053188817908</v>
      </c>
      <c r="H208">
        <f>F208*(($J$1/D208)+$J$2+($J$3*(B208-C208))/D208)</f>
        <v>46.587441040038428</v>
      </c>
      <c r="I208">
        <f>-F208*(1/(D208^2)) + (1/D208)*($J$1+$J$2*D208+$J$3*(B208-C208)+D208*(B208-C208))*(1-F208)</f>
        <v>-17.9541879775608</v>
      </c>
      <c r="J208">
        <f t="shared" si="13"/>
        <v>28.633253062477628</v>
      </c>
      <c r="L208" s="3">
        <f t="shared" si="14"/>
        <v>0.72016480573135333</v>
      </c>
    </row>
    <row r="209" spans="2:12" x14ac:dyDescent="0.75">
      <c r="B209">
        <f t="shared" si="15"/>
        <v>20.100000000000016</v>
      </c>
      <c r="C209">
        <v>7.91</v>
      </c>
      <c r="D209" s="1">
        <v>0.19800000000000001</v>
      </c>
      <c r="F209">
        <f>1-EXP(-D209*($J$1+$J$2*D209+$J$3*(B209-C209)+D209*(B209-C209)))</f>
        <v>0.91693002549159119</v>
      </c>
      <c r="G209">
        <f t="shared" si="12"/>
        <v>11.177377010742511</v>
      </c>
      <c r="H209">
        <f>F209*(($J$1/D209)+$J$2+($J$3*(B209-C209))/D209)</f>
        <v>47.015355509095158</v>
      </c>
      <c r="I209">
        <f>-F209*(1/(D209^2)) + (1/D209)*($J$1+$J$2*D209+$J$3*(B209-C209)+D209*(B209-C209))*(1-F209)</f>
        <v>-18.116670523398227</v>
      </c>
      <c r="J209">
        <f t="shared" si="13"/>
        <v>28.898684985696931</v>
      </c>
      <c r="L209" s="3">
        <f t="shared" si="14"/>
        <v>0.72109592475090079</v>
      </c>
    </row>
    <row r="210" spans="2:12" x14ac:dyDescent="0.75">
      <c r="B210">
        <f t="shared" si="15"/>
        <v>20.200000000000017</v>
      </c>
      <c r="C210">
        <v>7.94</v>
      </c>
      <c r="D210">
        <v>0.19700000000000001</v>
      </c>
      <c r="F210">
        <f>1-EXP(-D210*($J$1+$J$2*D210+$J$3*(B210-C210)+D210*(B210-C210)))</f>
        <v>0.9167705302379866</v>
      </c>
      <c r="G210">
        <f t="shared" si="12"/>
        <v>11.239606700717729</v>
      </c>
      <c r="H210">
        <f>F210*(($J$1/D210)+$J$2+($J$3*(B210-C210))/D210)</f>
        <v>47.489876880706234</v>
      </c>
      <c r="I210">
        <f>-F210*(1/(D210^2)) + (1/D210)*($J$1+$J$2*D210+$J$3*(B210-C210)+D210*(B210-C210))*(1-F210)</f>
        <v>-18.29084151999449</v>
      </c>
      <c r="J210">
        <f t="shared" si="13"/>
        <v>29.199035360711743</v>
      </c>
      <c r="L210" s="3">
        <f t="shared" si="14"/>
        <v>0.72205776139456201</v>
      </c>
    </row>
    <row r="211" spans="2:12" x14ac:dyDescent="0.75">
      <c r="B211">
        <f t="shared" si="15"/>
        <v>20.300000000000018</v>
      </c>
      <c r="C211">
        <v>7.98</v>
      </c>
      <c r="D211">
        <v>0.19600000000000001</v>
      </c>
      <c r="F211">
        <f>1-EXP(-D211*($J$1+$J$2*D211+$J$3*(B211-C211)+D211*(B211-C211)))</f>
        <v>0.91644464394408165</v>
      </c>
      <c r="G211">
        <f t="shared" si="12"/>
        <v>11.290598013391103</v>
      </c>
      <c r="H211">
        <f>F211*(($J$1/D211)+$J$2+($J$3*(B211-C211))/D211)</f>
        <v>47.925379140296222</v>
      </c>
      <c r="I211">
        <f>-F211*(1/(D211^2)) + (1/D211)*($J$1+$J$2*D211+$J$3*(B211-C211)+D211*(B211-C211))*(1-F211)</f>
        <v>-18.456885211373663</v>
      </c>
      <c r="J211">
        <f t="shared" si="13"/>
        <v>29.468493928922559</v>
      </c>
      <c r="L211" s="3">
        <f t="shared" si="14"/>
        <v>0.72299191480098024</v>
      </c>
    </row>
    <row r="212" spans="2:12" x14ac:dyDescent="0.75">
      <c r="B212">
        <f t="shared" si="15"/>
        <v>20.40000000000002</v>
      </c>
      <c r="C212">
        <v>8.01</v>
      </c>
      <c r="D212">
        <v>0.19500000000000001</v>
      </c>
      <c r="F212">
        <f>1-EXP(-D212*($J$1+$J$2*D212+$J$3*(B212-C212)+D212*(B212-C212)))</f>
        <v>0.91626251062228981</v>
      </c>
      <c r="G212">
        <f t="shared" si="12"/>
        <v>11.352492506610188</v>
      </c>
      <c r="H212">
        <f>F212*(($J$1/D212)+$J$2+($J$3*(B212-C212))/D212)</f>
        <v>48.408027949017935</v>
      </c>
      <c r="I212">
        <f>-F212*(1/(D212^2)) + (1/D212)*($J$1+$J$2*D212+$J$3*(B212-C212)+D212*(B212-C212))*(1-F212)</f>
        <v>-18.634787664629737</v>
      </c>
      <c r="J212">
        <f t="shared" si="13"/>
        <v>29.773240284388198</v>
      </c>
      <c r="L212" s="3">
        <f t="shared" si="14"/>
        <v>0.72395646870771324</v>
      </c>
    </row>
    <row r="213" spans="2:12" x14ac:dyDescent="0.75">
      <c r="B213">
        <f t="shared" si="15"/>
        <v>20.500000000000021</v>
      </c>
      <c r="C213">
        <v>8.0500000000000007</v>
      </c>
      <c r="D213">
        <v>0.19400000000000001</v>
      </c>
      <c r="F213">
        <f>1-EXP(-D213*($J$1+$J$2*D213+$J$3*(B213-C213)+D213*(B213-C213)))</f>
        <v>0.91591482451379802</v>
      </c>
      <c r="G213">
        <f t="shared" si="12"/>
        <v>11.403139565196804</v>
      </c>
      <c r="H213">
        <f>F213*(($J$1/D213)+$J$2+($J$3*(B213-C213))/D213)</f>
        <v>48.851308619634978</v>
      </c>
      <c r="I213">
        <f>-F213*(1/(D213^2)) + (1/D213)*($J$1+$J$2*D213+$J$3*(B213-C213)+D213*(B213-C213))*(1-F213)</f>
        <v>-18.804501976780823</v>
      </c>
      <c r="J213">
        <f t="shared" si="13"/>
        <v>30.046806642854154</v>
      </c>
      <c r="L213" s="3">
        <f t="shared" si="14"/>
        <v>0.72489374273344809</v>
      </c>
    </row>
    <row r="214" spans="2:12" x14ac:dyDescent="0.75">
      <c r="B214">
        <f t="shared" si="15"/>
        <v>20.600000000000023</v>
      </c>
      <c r="C214">
        <v>8.08</v>
      </c>
      <c r="D214">
        <v>0.193</v>
      </c>
      <c r="F214">
        <f>1-EXP(-D214*($J$1+$J$2*D214+$J$3*(B214-C214)+D214*(B214-C214)))</f>
        <v>0.91570982172875903</v>
      </c>
      <c r="G214">
        <f t="shared" si="12"/>
        <v>11.464686968044084</v>
      </c>
      <c r="H214">
        <f>F214*(($J$1/D214)+$J$2+($J$3*(B214-C214))/D214)</f>
        <v>49.342288329230591</v>
      </c>
      <c r="I214">
        <f>-F214*(1/(D214^2)) + (1/D214)*($J$1+$J$2*D214+$J$3*(B214-C214)+D214*(B214-C214))*(1-F214)</f>
        <v>-18.986252371256658</v>
      </c>
      <c r="J214">
        <f t="shared" si="13"/>
        <v>30.356035957973933</v>
      </c>
      <c r="L214" s="3">
        <f t="shared" si="14"/>
        <v>0.72586110028931283</v>
      </c>
    </row>
    <row r="215" spans="2:12" x14ac:dyDescent="0.75">
      <c r="B215">
        <f t="shared" si="15"/>
        <v>20.700000000000024</v>
      </c>
      <c r="C215">
        <v>8.1199999999999992</v>
      </c>
      <c r="D215">
        <v>0.192</v>
      </c>
      <c r="F215">
        <f>1-EXP(-D215*($J$1+$J$2*D215+$J$3*(B215-C215)+D215*(B215-C215)))</f>
        <v>0.915340023375524</v>
      </c>
      <c r="G215">
        <f t="shared" si="12"/>
        <v>11.514977494064114</v>
      </c>
      <c r="H215">
        <f>F215*(($J$1/D215)+$J$2+($J$3*(B215-C215))/D215)</f>
        <v>49.793543792437575</v>
      </c>
      <c r="I215">
        <f>-F215*(1/(D215^2)) + (1/D215)*($J$1+$J$2*D215+$J$3*(B215-C215)+D215*(B215-C215))*(1-F215)</f>
        <v>-19.159750219214352</v>
      </c>
      <c r="J215">
        <f t="shared" si="13"/>
        <v>30.633793573223222</v>
      </c>
      <c r="L215" s="3">
        <f t="shared" si="14"/>
        <v>0.72680158394935601</v>
      </c>
    </row>
    <row r="216" spans="2:12" x14ac:dyDescent="0.75">
      <c r="B216">
        <f t="shared" si="15"/>
        <v>20.800000000000026</v>
      </c>
      <c r="C216">
        <v>8.15</v>
      </c>
      <c r="D216">
        <v>0.191</v>
      </c>
      <c r="F216">
        <f>1-EXP(-D216*($J$1+$J$2*D216+$J$3*(B216-C216)+D216*(B216-C216)))</f>
        <v>0.91511188638490426</v>
      </c>
      <c r="G216">
        <f t="shared" si="12"/>
        <v>11.576165362769062</v>
      </c>
      <c r="H216">
        <f>F216*(($J$1/D216)+$J$2+($J$3*(B216-C216))/D216)</f>
        <v>50.29306401558469</v>
      </c>
      <c r="I216">
        <f>-F216*(1/(D216^2)) + (1/D216)*($J$1+$J$2*D216+$J$3*(B216-C216)+D216*(B216-C216))*(1-F216)</f>
        <v>-19.345468691555144</v>
      </c>
      <c r="J216">
        <f t="shared" si="13"/>
        <v>30.947595324029546</v>
      </c>
      <c r="L216" s="3">
        <f t="shared" si="14"/>
        <v>0.7277718344802262</v>
      </c>
    </row>
    <row r="217" spans="2:12" x14ac:dyDescent="0.75">
      <c r="B217">
        <f t="shared" si="15"/>
        <v>20.900000000000027</v>
      </c>
      <c r="C217">
        <v>8.18</v>
      </c>
      <c r="D217">
        <v>0.19</v>
      </c>
      <c r="F217">
        <f>1-EXP(-D217*($J$1+$J$2*D217+$J$3*(B217-C217)+D217*(B217-C217)))</f>
        <v>0.91487180651722655</v>
      </c>
      <c r="G217">
        <f t="shared" si="12"/>
        <v>11.637169378899147</v>
      </c>
      <c r="H217">
        <f>F217*(($J$1/D217)+$J$2+($J$3*(B217-C217))/D217)</f>
        <v>50.797053278176314</v>
      </c>
      <c r="I217">
        <f>-F217*(1/(D217^2)) + (1/D217)*($J$1+$J$2*D217+$J$3*(B217-C217)+D217*(B217-C217))*(1-F217)</f>
        <v>-19.533247768355842</v>
      </c>
      <c r="J217">
        <f t="shared" si="13"/>
        <v>31.263805509820472</v>
      </c>
      <c r="L217" s="3">
        <f t="shared" si="14"/>
        <v>0.72874347473257484</v>
      </c>
    </row>
    <row r="218" spans="2:12" x14ac:dyDescent="0.75">
      <c r="B218">
        <f t="shared" si="15"/>
        <v>21.000000000000028</v>
      </c>
      <c r="C218">
        <v>8.2200000000000006</v>
      </c>
      <c r="D218">
        <v>0.189</v>
      </c>
      <c r="F218">
        <f>1-EXP(-D218*($J$1+$J$2*D218+$J$3*(B218-C218)+D218*(B218-C218)))</f>
        <v>0.91446806209152709</v>
      </c>
      <c r="G218">
        <f t="shared" si="12"/>
        <v>11.686901833529742</v>
      </c>
      <c r="H218">
        <f>F218*(($J$1/D218)+$J$2+($J$3*(B218-C218))/D218)</f>
        <v>51.260773335585171</v>
      </c>
      <c r="I218">
        <f>-F218*(1/(D218^2)) + (1/D218)*($J$1+$J$2*D218+$J$3*(B218-C218)+D218*(B218-C218))*(1-F218)</f>
        <v>-19.712677047324433</v>
      </c>
      <c r="J218">
        <f t="shared" si="13"/>
        <v>31.548096288260737</v>
      </c>
      <c r="L218" s="3">
        <f t="shared" si="14"/>
        <v>0.72968885529708083</v>
      </c>
    </row>
    <row r="219" spans="2:12" x14ac:dyDescent="0.75">
      <c r="B219">
        <f t="shared" si="15"/>
        <v>21.10000000000003</v>
      </c>
      <c r="C219">
        <v>8.25</v>
      </c>
      <c r="D219">
        <v>0.188</v>
      </c>
      <c r="F219">
        <f>1-EXP(-D219*($J$1+$J$2*D219+$J$3*(B219-C219)+D219*(B219-C219)))</f>
        <v>0.91420440378749246</v>
      </c>
      <c r="G219">
        <f t="shared" si="12"/>
        <v>11.747526588669306</v>
      </c>
      <c r="H219">
        <f>F219*(($J$1/D219)+$J$2+($J$3*(B219-C219))/D219)</f>
        <v>51.773632269601457</v>
      </c>
      <c r="I219">
        <f>-F219*(1/(D219^2)) + (1/D219)*($J$1+$J$2*D219+$J$3*(B219-C219)+D219*(B219-C219))*(1-F219)</f>
        <v>-19.90461301703851</v>
      </c>
      <c r="J219">
        <f t="shared" si="13"/>
        <v>31.869019252562946</v>
      </c>
      <c r="L219" s="3">
        <f t="shared" si="14"/>
        <v>0.73066352774859222</v>
      </c>
    </row>
    <row r="220" spans="2:12" x14ac:dyDescent="0.75">
      <c r="B220">
        <f t="shared" si="15"/>
        <v>21.200000000000031</v>
      </c>
      <c r="C220">
        <v>8.2899999999999991</v>
      </c>
      <c r="D220">
        <v>0.187</v>
      </c>
      <c r="F220">
        <f>1-EXP(-D220*($J$1+$J$2*D220+$J$3*(B220-C220)+D220*(B220-C220)))</f>
        <v>0.9137776401553499</v>
      </c>
      <c r="G220">
        <f t="shared" si="12"/>
        <v>11.796869334405596</v>
      </c>
      <c r="H220">
        <f>F220*(($J$1/D220)+$J$2+($J$3*(B220-C220))/D220)</f>
        <v>52.245847389812837</v>
      </c>
      <c r="I220">
        <f>-F220*(1/(D220^2)) + (1/D220)*($J$1+$J$2*D220+$J$3*(B220-C220)+D220*(B220-C220))*(1-F220)</f>
        <v>-20.088125519303915</v>
      </c>
      <c r="J220">
        <f t="shared" si="13"/>
        <v>32.157721870508922</v>
      </c>
      <c r="L220" s="3">
        <f t="shared" si="14"/>
        <v>0.7316123524068493</v>
      </c>
    </row>
    <row r="221" spans="2:12" x14ac:dyDescent="0.75">
      <c r="B221">
        <f t="shared" si="15"/>
        <v>21.300000000000033</v>
      </c>
      <c r="C221">
        <v>8.32</v>
      </c>
      <c r="D221">
        <v>0.186</v>
      </c>
      <c r="F221">
        <f>1-EXP(-D221*($J$1+$J$2*D221+$J$3*(B221-C221)+D221*(B221-C221)))</f>
        <v>0.91349005322181376</v>
      </c>
      <c r="G221">
        <f t="shared" si="12"/>
        <v>11.857100890819172</v>
      </c>
      <c r="H221">
        <f>F221*(($J$1/D221)+$J$2+($J$3*(B221-C221))/D221)</f>
        <v>52.767802036726643</v>
      </c>
      <c r="I221">
        <f>-F221*(1/(D221^2)) + (1/D221)*($J$1+$J$2*D221+$J$3*(B221-C221)+D221*(B221-C221))*(1-F221)</f>
        <v>-20.28434833226914</v>
      </c>
      <c r="J221">
        <f t="shared" si="13"/>
        <v>32.483453704457503</v>
      </c>
      <c r="L221" s="3">
        <f t="shared" si="14"/>
        <v>0.73259015366302538</v>
      </c>
    </row>
    <row r="222" spans="2:12" x14ac:dyDescent="0.75">
      <c r="B222">
        <f t="shared" si="15"/>
        <v>21.400000000000034</v>
      </c>
      <c r="C222">
        <v>8.36</v>
      </c>
      <c r="D222">
        <v>0.185</v>
      </c>
      <c r="F222">
        <f>1-EXP(-D222*($J$1+$J$2*D222+$J$3*(B222-C222)+D222*(B222-C222)))</f>
        <v>0.91303984467458965</v>
      </c>
      <c r="G222">
        <f t="shared" si="12"/>
        <v>11.906039574556681</v>
      </c>
      <c r="H222">
        <f>F222*(($J$1/D222)+$J$2+($J$3*(B222-C222))/D222)</f>
        <v>53.248730508947787</v>
      </c>
      <c r="I222">
        <f>-F222*(1/(D222^2)) + (1/D222)*($J$1+$J$2*D222+$J$3*(B222-C222)+D222*(B222-C222))*(1-F222)</f>
        <v>-20.472070147042338</v>
      </c>
      <c r="J222">
        <f t="shared" si="13"/>
        <v>32.776660361905449</v>
      </c>
      <c r="L222" s="3">
        <f t="shared" si="14"/>
        <v>0.7335425211214448</v>
      </c>
    </row>
    <row r="223" spans="2:12" x14ac:dyDescent="0.75">
      <c r="B223">
        <f t="shared" si="15"/>
        <v>21.500000000000036</v>
      </c>
      <c r="C223">
        <v>8.39</v>
      </c>
      <c r="D223">
        <v>0.184</v>
      </c>
      <c r="F223">
        <f>1-EXP(-D223*($J$1+$J$2*D223+$J$3*(B223-C223)+D223*(B223-C223)))</f>
        <v>0.91272794408597457</v>
      </c>
      <c r="G223">
        <f t="shared" si="12"/>
        <v>11.965863346967158</v>
      </c>
      <c r="H223">
        <f>F223*(($J$1/D223)+$J$2+($J$3*(B223-C223))/D223)</f>
        <v>53.780013866287689</v>
      </c>
      <c r="I223">
        <f>-F223*(1/(D223^2)) + (1/D223)*($J$1+$J$2*D223+$J$3*(B223-C223)+D223*(B223-C223))*(1-F223)</f>
        <v>-20.67271393602093</v>
      </c>
      <c r="J223">
        <f t="shared" si="13"/>
        <v>33.107299930266763</v>
      </c>
      <c r="L223" s="3">
        <f t="shared" si="14"/>
        <v>0.73452355066876318</v>
      </c>
    </row>
    <row r="224" spans="2:12" x14ac:dyDescent="0.75">
      <c r="B224">
        <f t="shared" si="15"/>
        <v>21.600000000000037</v>
      </c>
      <c r="C224">
        <v>8.42</v>
      </c>
      <c r="D224">
        <v>0.183</v>
      </c>
      <c r="F224">
        <f>1-EXP(-D224*($J$1+$J$2*D224+$J$3*(B224-C224)+D224*(B224-C224)))</f>
        <v>0.9124035204821721</v>
      </c>
      <c r="G224">
        <f t="shared" si="12"/>
        <v>12.025478399955063</v>
      </c>
      <c r="H224">
        <f>F224*(($J$1/D224)+$J$2+($J$3*(B224-C224))/D224)</f>
        <v>54.316179304157821</v>
      </c>
      <c r="I224">
        <f>-F224*(1/(D224^2)) + (1/D224)*($J$1+$J$2*D224+$J$3*(B224-C224)+D224*(B224-C224))*(1-F224)</f>
        <v>-20.875655449108727</v>
      </c>
      <c r="J224">
        <f t="shared" si="13"/>
        <v>33.440523855049094</v>
      </c>
      <c r="L224" s="3">
        <f t="shared" si="14"/>
        <v>0.73550614077507781</v>
      </c>
    </row>
    <row r="225" spans="2:12" x14ac:dyDescent="0.75">
      <c r="B225">
        <f t="shared" si="15"/>
        <v>21.700000000000038</v>
      </c>
      <c r="C225">
        <v>8.4600000000000009</v>
      </c>
      <c r="D225">
        <v>0.182</v>
      </c>
      <c r="F225">
        <f>1-EXP(-D225*($J$1+$J$2*D225+$J$3*(B225-C225)+D225*(B225-C225)))</f>
        <v>0.91191719667130655</v>
      </c>
      <c r="G225">
        <f t="shared" si="12"/>
        <v>12.073783683928133</v>
      </c>
      <c r="H225">
        <f>F225*(($J$1/D225)+$J$2+($J$3*(B225-C225))/D225)</f>
        <v>54.810733000588549</v>
      </c>
      <c r="I225">
        <f>-F225*(1/(D225^2)) + (1/D225)*($J$1+$J$2*D225+$J$3*(B225-C225)+D225*(B225-C225))*(1-F225)</f>
        <v>-21.069978484761219</v>
      </c>
      <c r="J225">
        <f t="shared" si="13"/>
        <v>33.740754515827334</v>
      </c>
      <c r="L225" s="3">
        <f t="shared" si="14"/>
        <v>0.73646392262461835</v>
      </c>
    </row>
    <row r="226" spans="2:12" x14ac:dyDescent="0.75">
      <c r="B226">
        <f t="shared" si="15"/>
        <v>21.80000000000004</v>
      </c>
      <c r="C226">
        <v>8.49</v>
      </c>
      <c r="D226">
        <v>0.18099999999999999</v>
      </c>
      <c r="F226">
        <f>1-EXP(-D226*($J$1+$J$2*D226+$J$3*(B226-C226)+D226*(B226-C226)))</f>
        <v>0.9115678298662877</v>
      </c>
      <c r="G226">
        <f t="shared" si="12"/>
        <v>12.132967815520326</v>
      </c>
      <c r="H226">
        <f>F226*(($J$1/D226)+$J$2+($J$3*(B226-C226))/D226)</f>
        <v>55.356593261695146</v>
      </c>
      <c r="I226">
        <f>-F226*(1/(D226^2)) + (1/D226)*($J$1+$J$2*D226+$J$3*(B226-C226)+D226*(B226-C226))*(1-F226)</f>
        <v>-21.277551976952388</v>
      </c>
      <c r="J226">
        <f t="shared" si="13"/>
        <v>34.079041284742758</v>
      </c>
      <c r="L226" s="3">
        <f t="shared" si="14"/>
        <v>0.73744989556294249</v>
      </c>
    </row>
    <row r="227" spans="2:12" x14ac:dyDescent="0.75">
      <c r="B227">
        <f t="shared" si="15"/>
        <v>21.900000000000041</v>
      </c>
      <c r="C227">
        <v>8.5299999999999994</v>
      </c>
      <c r="D227">
        <v>0.18099999999999999</v>
      </c>
      <c r="F227">
        <f>1-EXP(-D227*($J$1+$J$2*D227+$J$3*(B227-C227)+D227*(B227-C227)))</f>
        <v>0.91245743265756907</v>
      </c>
      <c r="G227">
        <f t="shared" si="12"/>
        <v>12.199555874631736</v>
      </c>
      <c r="H227">
        <f>F227*(($J$1/D227)+$J$2+($J$3*(B227-C227))/D227)</f>
        <v>55.637470046391847</v>
      </c>
      <c r="I227">
        <f>-F227*(1/(D227^2)) + (1/D227)*($J$1+$J$2*D227+$J$3*(B227-C227)+D227*(B227-C227))*(1-F227)</f>
        <v>-21.343552359702553</v>
      </c>
      <c r="J227">
        <f t="shared" si="13"/>
        <v>34.293917686689298</v>
      </c>
      <c r="L227" s="3">
        <f t="shared" si="14"/>
        <v>0.73760713192268734</v>
      </c>
    </row>
    <row r="228" spans="2:12" x14ac:dyDescent="0.75">
      <c r="B228">
        <f t="shared" si="15"/>
        <v>22.000000000000043</v>
      </c>
      <c r="C228">
        <v>8.57</v>
      </c>
      <c r="D228">
        <v>0.18</v>
      </c>
      <c r="F228">
        <f>1-EXP(-D228*($J$1+$J$2*D228+$J$3*(B228-C228)+D228*(B228-C228)))</f>
        <v>0.91194573439896487</v>
      </c>
      <c r="G228">
        <f t="shared" si="12"/>
        <v>12.247431212978137</v>
      </c>
      <c r="H228">
        <f>F228*(($J$1/D228)+$J$2+($J$3*(B228-C228))/D228)</f>
        <v>56.142925865234211</v>
      </c>
      <c r="I228">
        <f>-F228*(1/(D228^2)) + (1/D228)*($J$1+$J$2*D228+$J$3*(B228-C228)+D228*(B228-C228))*(1-F228)</f>
        <v>-21.54294147324191</v>
      </c>
      <c r="J228">
        <f t="shared" si="13"/>
        <v>34.599984391992301</v>
      </c>
      <c r="L228" s="3">
        <f t="shared" si="14"/>
        <v>0.73856762310536717</v>
      </c>
    </row>
    <row r="229" spans="2:12" x14ac:dyDescent="0.75">
      <c r="B229">
        <f t="shared" si="15"/>
        <v>22.100000000000044</v>
      </c>
      <c r="C229">
        <v>8.6</v>
      </c>
      <c r="D229">
        <v>0.17899999999999999</v>
      </c>
      <c r="F229">
        <f>1-EXP(-D229*($J$1+$J$2*D229+$J$3*(B229-C229)+D229*(B229-C229)))</f>
        <v>0.91156881057361649</v>
      </c>
      <c r="G229">
        <f t="shared" si="12"/>
        <v>12.306178942743863</v>
      </c>
      <c r="H229">
        <f>F229*(($J$1/D229)+$J$2+($J$3*(B229-C229))/D229)</f>
        <v>56.70034390215725</v>
      </c>
      <c r="I229">
        <f>-F229*(1/(D229^2)) + (1/D229)*($J$1+$J$2*D229+$J$3*(B229-C229)+D229*(B229-C229))*(1-F229)</f>
        <v>-21.755758529605369</v>
      </c>
      <c r="J229">
        <f t="shared" si="13"/>
        <v>34.944585372551884</v>
      </c>
      <c r="L229" s="3">
        <f t="shared" si="14"/>
        <v>0.73955598134610112</v>
      </c>
    </row>
    <row r="230" spans="2:12" x14ac:dyDescent="0.75">
      <c r="B230">
        <f t="shared" si="15"/>
        <v>22.200000000000045</v>
      </c>
      <c r="C230">
        <v>8.6300000000000008</v>
      </c>
      <c r="D230">
        <v>0.17799999999999999</v>
      </c>
      <c r="F230">
        <f>1-EXP(-D230*($J$1+$J$2*D230+$J$3*(B230-C230)+D230*(B230-C230)))</f>
        <v>0.9111789031445513</v>
      </c>
      <c r="G230">
        <f t="shared" si="12"/>
        <v>12.364697715671602</v>
      </c>
      <c r="H230">
        <f>F230*(($J$1/D230)+$J$2+($J$3*(B230-C230))/D230)</f>
        <v>57.262986978293483</v>
      </c>
      <c r="I230">
        <f>-F230*(1/(D230^2)) + (1/D230)*($J$1+$J$2*D230+$J$3*(B230-C230)+D230*(B230-C230))*(1-F230)</f>
        <v>-21.97107009809789</v>
      </c>
      <c r="J230">
        <f t="shared" si="13"/>
        <v>35.291916880195593</v>
      </c>
      <c r="L230" s="3">
        <f t="shared" si="14"/>
        <v>0.74054603289542364</v>
      </c>
    </row>
    <row r="231" spans="2:12" x14ac:dyDescent="0.75">
      <c r="B231">
        <f t="shared" si="15"/>
        <v>22.300000000000047</v>
      </c>
      <c r="C231">
        <v>8.67</v>
      </c>
      <c r="D231">
        <v>0.17699999999999999</v>
      </c>
      <c r="F231">
        <f>1-EXP(-D231*($J$1+$J$2*D231+$J$3*(B231-C231)+D231*(B231-C231)))</f>
        <v>0.91062937408707456</v>
      </c>
      <c r="G231">
        <f t="shared" si="12"/>
        <v>12.411878368806869</v>
      </c>
      <c r="H231">
        <f>F231*(($J$1/D231)+$J$2+($J$3*(B231-C231))/D231)</f>
        <v>57.783035144931624</v>
      </c>
      <c r="I231">
        <f>-F231*(1/(D231^2)) + (1/D231)*($J$1+$J$2*D231+$J$3*(B231-C231)+D231*(B231-C231))*(1-F231)</f>
        <v>-22.17761816716078</v>
      </c>
      <c r="J231">
        <f t="shared" si="13"/>
        <v>35.605416977770844</v>
      </c>
      <c r="L231" s="3">
        <f t="shared" si="14"/>
        <v>0.7415123388516407</v>
      </c>
    </row>
    <row r="232" spans="2:12" x14ac:dyDescent="0.75">
      <c r="B232">
        <f t="shared" si="15"/>
        <v>22.400000000000048</v>
      </c>
      <c r="C232">
        <v>8.6999999999999993</v>
      </c>
      <c r="D232">
        <v>0.17599999999999999</v>
      </c>
      <c r="F232">
        <f>1-EXP(-D232*($J$1+$J$2*D232+$J$3*(B232-C232)+D232*(B232-C232)))</f>
        <v>0.91021344172396357</v>
      </c>
      <c r="G232">
        <f t="shared" si="12"/>
        <v>12.469924151618345</v>
      </c>
      <c r="H232">
        <f>F232*(($J$1/D232)+$J$2+($J$3*(B232-C232))/D232)</f>
        <v>58.356059282527802</v>
      </c>
      <c r="I232">
        <f>-F232*(1/(D232^2)) + (1/D232)*($J$1+$J$2*D232+$J$3*(B232-C232)+D232*(B232-C232))*(1-F232)</f>
        <v>-22.39795663029658</v>
      </c>
      <c r="J232">
        <f t="shared" si="13"/>
        <v>35.958102652231219</v>
      </c>
      <c r="L232" s="3">
        <f t="shared" si="14"/>
        <v>0.74250604506093354</v>
      </c>
    </row>
    <row r="233" spans="2:12" x14ac:dyDescent="0.75">
      <c r="B233">
        <f t="shared" si="15"/>
        <v>22.50000000000005</v>
      </c>
      <c r="C233">
        <v>8.73</v>
      </c>
      <c r="D233">
        <v>0.17499999999999999</v>
      </c>
      <c r="F233">
        <f>1-EXP(-D233*($J$1+$J$2*D233+$J$3*(B233-C233)+D233*(B233-C233)))</f>
        <v>0.90978413676264824</v>
      </c>
      <c r="G233">
        <f t="shared" si="12"/>
        <v>12.527727563221712</v>
      </c>
      <c r="H233">
        <f>F233*(($J$1/D233)+$J$2+($J$3*(B233-C233))/D233)</f>
        <v>58.934516687860594</v>
      </c>
      <c r="I233">
        <f>-F233*(1/(D233^2)) + (1/D233)*($J$1+$J$2*D233+$J$3*(B233-C233)+D233*(B233-C233))*(1-F233)</f>
        <v>-22.620909941290982</v>
      </c>
      <c r="J233">
        <f t="shared" si="13"/>
        <v>36.313606746569612</v>
      </c>
      <c r="L233" s="3">
        <f t="shared" si="14"/>
        <v>0.74350152918098611</v>
      </c>
    </row>
    <row r="234" spans="2:12" x14ac:dyDescent="0.75">
      <c r="B234">
        <f t="shared" si="15"/>
        <v>22.600000000000051</v>
      </c>
      <c r="C234">
        <v>8.76</v>
      </c>
      <c r="D234">
        <v>0.17399999999999999</v>
      </c>
      <c r="F234">
        <f>1-EXP(-D234*($J$1+$J$2*D234+$J$3*(B234-C234)+D234*(B234-C234)))</f>
        <v>0.90934132421839065</v>
      </c>
      <c r="G234">
        <f t="shared" si="12"/>
        <v>12.585283927182573</v>
      </c>
      <c r="H234">
        <f>F234*(($J$1/D234)+$J$2+($J$3*(B234-C234))/D234)</f>
        <v>59.518480109919658</v>
      </c>
      <c r="I234">
        <f>-F234*(1/(D234^2)) + (1/D234)*($J$1+$J$2*D234+$J$3*(B234-C234)+D234*(B234-C234))*(1-F234)</f>
        <v>-22.846520154765813</v>
      </c>
      <c r="J234">
        <f t="shared" si="13"/>
        <v>36.671959955153845</v>
      </c>
      <c r="L234" s="3">
        <f t="shared" si="14"/>
        <v>0.74449882016854707</v>
      </c>
    </row>
    <row r="235" spans="2:12" x14ac:dyDescent="0.75">
      <c r="B235">
        <f t="shared" si="15"/>
        <v>22.700000000000053</v>
      </c>
      <c r="C235">
        <v>8.81</v>
      </c>
      <c r="D235">
        <v>0.17399999999999999</v>
      </c>
      <c r="F235">
        <f>1-EXP(-D235*($J$1+$J$2*D235+$J$3*(B235-C235)+D235*(B235-C235)))</f>
        <v>0.91006718972851153</v>
      </c>
      <c r="G235">
        <f t="shared" si="12"/>
        <v>12.640833265329073</v>
      </c>
      <c r="H235">
        <f>F235*(($J$1/D235)+$J$2+($J$3*(B235-C235))/D235)</f>
        <v>59.762124846413535</v>
      </c>
      <c r="I235">
        <f>-F235*(1/(D235^2)) + (1/D235)*($J$1+$J$2*D235+$J$3*(B235-C235)+D235*(B235-C235))*(1-F235)</f>
        <v>-22.904171935514015</v>
      </c>
      <c r="J235">
        <f t="shared" si="13"/>
        <v>36.85795291089952</v>
      </c>
      <c r="L235" s="3">
        <f t="shared" si="14"/>
        <v>0.74462336873626744</v>
      </c>
    </row>
    <row r="236" spans="2:12" x14ac:dyDescent="0.75">
      <c r="B236">
        <f t="shared" si="15"/>
        <v>22.800000000000054</v>
      </c>
      <c r="C236">
        <v>8.84</v>
      </c>
      <c r="D236">
        <v>0.17299999999999999</v>
      </c>
      <c r="F236">
        <f>1-EXP(-D236*($J$1+$J$2*D236+$J$3*(B236-C236)+D236*(B236-C236)))</f>
        <v>0.90960942627731944</v>
      </c>
      <c r="G236">
        <f t="shared" si="12"/>
        <v>12.698147590831429</v>
      </c>
      <c r="H236">
        <f>F236*(($J$1/D236)+$J$2+($J$3*(B236-C236))/D236)</f>
        <v>60.353111219295904</v>
      </c>
      <c r="I236">
        <f>-F236*(1/(D236^2)) + (1/D236)*($J$1+$J$2*D236+$J$3*(B236-C236)+D236*(B236-C236))*(1-F236)</f>
        <v>-23.132923291978067</v>
      </c>
      <c r="J236">
        <f t="shared" si="13"/>
        <v>37.220187927317838</v>
      </c>
      <c r="L236" s="3">
        <f t="shared" si="14"/>
        <v>0.74562157453718292</v>
      </c>
    </row>
    <row r="237" spans="2:12" x14ac:dyDescent="0.75">
      <c r="B237">
        <f t="shared" si="15"/>
        <v>22.900000000000055</v>
      </c>
      <c r="C237">
        <v>8.8699999999999992</v>
      </c>
      <c r="D237">
        <v>0.17199999999999999</v>
      </c>
      <c r="F237">
        <f>1-EXP(-D237*($J$1+$J$2*D237+$J$3*(B237-C237)+D237*(B237-C237)))</f>
        <v>0.90913793757717487</v>
      </c>
      <c r="G237">
        <f t="shared" si="12"/>
        <v>12.755205264207815</v>
      </c>
      <c r="H237">
        <f>F237*(($J$1/D237)+$J$2+($J$3*(B237-C237))/D237)</f>
        <v>60.949770186024409</v>
      </c>
      <c r="I237">
        <f>-F237*(1/(D237^2)) + (1/D237)*($J$1+$J$2*D237+$J$3*(B237-C237)+D237*(B237-C237))*(1-F237)</f>
        <v>-23.364427099000686</v>
      </c>
      <c r="J237">
        <f t="shared" si="13"/>
        <v>37.585343087023723</v>
      </c>
      <c r="L237" s="3">
        <f t="shared" si="14"/>
        <v>0.74662164632746253</v>
      </c>
    </row>
    <row r="238" spans="2:12" x14ac:dyDescent="0.75">
      <c r="B238">
        <f t="shared" si="15"/>
        <v>23.000000000000057</v>
      </c>
      <c r="C238">
        <v>8.91</v>
      </c>
      <c r="D238">
        <v>0.17100000000000001</v>
      </c>
      <c r="F238">
        <f>1-EXP(-D238*($J$1+$J$2*D238+$J$3*(B238-C238)+D238*(B238-C238)))</f>
        <v>0.9085085944932294</v>
      </c>
      <c r="G238">
        <f t="shared" si="12"/>
        <v>12.800886096409654</v>
      </c>
      <c r="H238">
        <f>F238*(($J$1/D238)+$J$2+($J$3*(B238-C238))/D238)</f>
        <v>61.50257845194961</v>
      </c>
      <c r="I238">
        <f>-F238*(1/(D238^2)) + (1/D238)*($J$1+$J$2*D238+$J$3*(B238-C238)+D238*(B238-C238))*(1-F238)</f>
        <v>-23.586948509004284</v>
      </c>
      <c r="J238">
        <f t="shared" si="13"/>
        <v>37.91562994294533</v>
      </c>
      <c r="L238" s="3">
        <f t="shared" si="14"/>
        <v>0.74759926161969747</v>
      </c>
    </row>
    <row r="239" spans="2:12" x14ac:dyDescent="0.75">
      <c r="B239">
        <f t="shared" si="15"/>
        <v>23.100000000000058</v>
      </c>
      <c r="C239">
        <v>8.94</v>
      </c>
      <c r="D239">
        <v>0.17</v>
      </c>
      <c r="F239">
        <f>1-EXP(-D239*($J$1+$J$2*D239+$J$3*(B239-C239)+D239*(B239-C239)))</f>
        <v>0.90800941094078724</v>
      </c>
      <c r="G239">
        <f t="shared" si="12"/>
        <v>12.8574132589216</v>
      </c>
      <c r="H239">
        <f>F239*(($J$1/D239)+$J$2+($J$3*(B239-C239))/D239)</f>
        <v>62.110514324264614</v>
      </c>
      <c r="I239">
        <f>-F239*(1/(D239^2)) + (1/D239)*($J$1+$J$2*D239+$J$3*(B239-C239)+D239*(B239-C239))*(1-F239)</f>
        <v>-23.823997165912093</v>
      </c>
      <c r="J239">
        <f t="shared" si="13"/>
        <v>38.286517158352524</v>
      </c>
      <c r="L239" s="3">
        <f t="shared" si="14"/>
        <v>0.74860334053287891</v>
      </c>
    </row>
    <row r="240" spans="2:12" x14ac:dyDescent="0.75">
      <c r="B240">
        <f t="shared" si="15"/>
        <v>23.20000000000006</v>
      </c>
      <c r="C240">
        <v>8.98</v>
      </c>
      <c r="D240">
        <v>0.17</v>
      </c>
      <c r="F240">
        <f>1-EXP(-D240*($J$1+$J$2*D240+$J$3*(B240-C240)+D240*(B240-C240)))</f>
        <v>0.90886861294764021</v>
      </c>
      <c r="G240">
        <f t="shared" si="12"/>
        <v>12.924111676115498</v>
      </c>
      <c r="H240">
        <f>F240*(($J$1/D240)+$J$2+($J$3*(B240-C240))/D240)</f>
        <v>62.409869136731281</v>
      </c>
      <c r="I240">
        <f>-F240*(1/(D240^2)) + (1/D240)*($J$1+$J$2*D240+$J$3*(B240-C240)+D240*(B240-C240))*(1-F240)</f>
        <v>-23.895074686467225</v>
      </c>
      <c r="J240">
        <f t="shared" si="13"/>
        <v>38.514794450264056</v>
      </c>
      <c r="L240" s="3">
        <f t="shared" si="14"/>
        <v>0.74874831816286258</v>
      </c>
    </row>
    <row r="241" spans="2:12" x14ac:dyDescent="0.75">
      <c r="B241">
        <f t="shared" si="15"/>
        <v>23.300000000000061</v>
      </c>
      <c r="C241">
        <v>9.01</v>
      </c>
      <c r="D241">
        <v>0.16900000000000001</v>
      </c>
      <c r="F241">
        <f>1-EXP(-D241*($J$1+$J$2*D241+$J$3*(B241-C241)+D241*(B241-C241)))</f>
        <v>0.9083540265821185</v>
      </c>
      <c r="G241">
        <f t="shared" si="12"/>
        <v>12.98037903985853</v>
      </c>
      <c r="H241">
        <f>F241*(($J$1/D241)+$J$2+($J$3*(B241-C241))/D241)</f>
        <v>63.025526023672384</v>
      </c>
      <c r="I241">
        <f>-F241*(1/(D241^2)) + (1/D241)*($J$1+$J$2*D241+$J$3*(B241-C241)+D241*(B241-C241))*(1-F241)</f>
        <v>-24.135584927054914</v>
      </c>
      <c r="J241">
        <f t="shared" si="13"/>
        <v>38.88994109661747</v>
      </c>
      <c r="L241" s="3">
        <f t="shared" si="14"/>
        <v>0.74975324991814485</v>
      </c>
    </row>
    <row r="242" spans="2:12" x14ac:dyDescent="0.75">
      <c r="B242">
        <f t="shared" si="15"/>
        <v>23.400000000000063</v>
      </c>
      <c r="C242">
        <v>9.0500000000000007</v>
      </c>
      <c r="D242">
        <v>0.16800000000000001</v>
      </c>
      <c r="F242">
        <f>1-EXP(-D242*($J$1+$J$2*D242+$J$3*(B242-C242)+D242*(B242-C242)))</f>
        <v>0.90768287330243946</v>
      </c>
      <c r="G242">
        <f t="shared" si="12"/>
        <v>13.025249231890063</v>
      </c>
      <c r="H242">
        <f>F242*(($J$1/D242)+$J$2+($J$3*(B242-C242))/D242)</f>
        <v>63.596692460450747</v>
      </c>
      <c r="I242">
        <f>-F242*(1/(D242^2)) + (1/D242)*($J$1+$J$2*D242+$J$3*(B242-C242)+D242*(B242-C242))*(1-F242)</f>
        <v>-24.367026489053888</v>
      </c>
      <c r="J242">
        <f t="shared" si="13"/>
        <v>39.229665971396855</v>
      </c>
      <c r="L242" s="3">
        <f t="shared" si="14"/>
        <v>0.75073638180794988</v>
      </c>
    </row>
    <row r="243" spans="2:12" x14ac:dyDescent="0.75">
      <c r="B243">
        <f t="shared" si="15"/>
        <v>23.500000000000064</v>
      </c>
      <c r="C243">
        <v>9.08</v>
      </c>
      <c r="D243">
        <v>0.16700000000000001</v>
      </c>
      <c r="F243">
        <f>1-EXP(-D243*($J$1+$J$2*D243+$J$3*(B243-C243)+D243*(B243-C243)))</f>
        <v>0.90713967811043406</v>
      </c>
      <c r="G243">
        <f t="shared" si="12"/>
        <v>13.080954158352517</v>
      </c>
      <c r="H243">
        <f>F243*(($J$1/D243)+$J$2+($J$3*(B243-C243))/D243)</f>
        <v>64.224131216688889</v>
      </c>
      <c r="I243">
        <f>-F243*(1/(D243^2)) + (1/D243)*($J$1+$J$2*D243+$J$3*(B243-C243)+D243*(B243-C243))*(1-F243)</f>
        <v>-24.613373521279133</v>
      </c>
      <c r="J243">
        <f t="shared" si="13"/>
        <v>39.61075769540976</v>
      </c>
      <c r="L243" s="3">
        <f t="shared" si="14"/>
        <v>0.75174550800974749</v>
      </c>
    </row>
    <row r="244" spans="2:12" x14ac:dyDescent="0.75">
      <c r="B244">
        <f t="shared" si="15"/>
        <v>23.600000000000065</v>
      </c>
      <c r="C244">
        <v>9.11</v>
      </c>
      <c r="D244">
        <v>0.16600000000000001</v>
      </c>
      <c r="F244">
        <f>1-EXP(-D244*($J$1+$J$2*D244+$J$3*(B244-C244)+D244*(B244-C244)))</f>
        <v>0.90658181383369041</v>
      </c>
      <c r="G244">
        <f t="shared" si="12"/>
        <v>13.136370482450234</v>
      </c>
      <c r="H244">
        <f>F244*(($J$1/D244)+$J$2+($J$3*(B244-C244))/D244)</f>
        <v>64.857736775458946</v>
      </c>
      <c r="I244">
        <f>-F244*(1/(D244^2)) + (1/D244)*($J$1+$J$2*D244+$J$3*(B244-C244)+D244*(B244-C244))*(1-F244)</f>
        <v>-24.86275923329314</v>
      </c>
      <c r="J244">
        <f t="shared" si="13"/>
        <v>39.994977542165806</v>
      </c>
      <c r="L244" s="3">
        <f t="shared" si="14"/>
        <v>0.7527566875140439</v>
      </c>
    </row>
    <row r="245" spans="2:12" x14ac:dyDescent="0.75">
      <c r="B245">
        <f t="shared" si="15"/>
        <v>23.700000000000067</v>
      </c>
      <c r="C245">
        <v>9.15</v>
      </c>
      <c r="D245">
        <v>0.16600000000000001</v>
      </c>
      <c r="F245">
        <f>1-EXP(-D245*($J$1+$J$2*D245+$J$3*(B245-C245)+D245*(B245-C245)))</f>
        <v>0.90743022550922392</v>
      </c>
      <c r="G245">
        <f t="shared" si="12"/>
        <v>13.203109781159268</v>
      </c>
      <c r="H245">
        <f>F245*(($J$1/D245)+$J$2+($J$3*(B245-C245))/D245)</f>
        <v>65.164423085845783</v>
      </c>
      <c r="I245">
        <f>-F245*(1/(D245^2)) + (1/D245)*($J$1+$J$2*D245+$J$3*(B245-C245)+D245*(B245-C245))*(1-F245)</f>
        <v>-24.935889141834998</v>
      </c>
      <c r="J245">
        <f t="shared" si="13"/>
        <v>40.228533944010785</v>
      </c>
      <c r="L245" s="3">
        <f t="shared" si="14"/>
        <v>0.75289718113351478</v>
      </c>
    </row>
    <row r="246" spans="2:12" x14ac:dyDescent="0.75">
      <c r="B246">
        <f t="shared" si="15"/>
        <v>23.800000000000068</v>
      </c>
      <c r="C246">
        <v>9.18</v>
      </c>
      <c r="D246">
        <v>0.16500000000000001</v>
      </c>
      <c r="F246">
        <f>1-EXP(-D246*($J$1+$J$2*D246+$J$3*(B246-C246)+D246*(B246-C246)))</f>
        <v>0.90685666632674766</v>
      </c>
      <c r="G246">
        <f t="shared" si="12"/>
        <v>13.258244461697114</v>
      </c>
      <c r="H246">
        <f>F246*(($J$1/D246)+$J$2+($J$3*(B246-C246))/D246)</f>
        <v>65.806191394525925</v>
      </c>
      <c r="I246">
        <f>-F246*(1/(D246^2)) + (1/D246)*($J$1+$J$2*D246+$J$3*(B246-C246)+D246*(B246-C246))*(1-F246)</f>
        <v>-25.188987420106869</v>
      </c>
      <c r="J246">
        <f t="shared" si="13"/>
        <v>40.617203974419056</v>
      </c>
      <c r="L246" s="3">
        <f t="shared" si="14"/>
        <v>0.75390934374461249</v>
      </c>
    </row>
    <row r="247" spans="2:12" x14ac:dyDescent="0.75">
      <c r="B247">
        <f t="shared" si="15"/>
        <v>23.90000000000007</v>
      </c>
      <c r="C247">
        <v>9.2100000000000009</v>
      </c>
      <c r="D247">
        <v>0.16400000000000001</v>
      </c>
      <c r="F247">
        <f>1-EXP(-D247*($J$1+$J$2*D247+$J$3*(B247-C247)+D247*(B247-C247)))</f>
        <v>0.90626813192151401</v>
      </c>
      <c r="G247">
        <f t="shared" si="12"/>
        <v>13.313078857927103</v>
      </c>
      <c r="H247">
        <f>F247*(($J$1/D247)+$J$2+($J$3*(B247-C247))/D247)</f>
        <v>66.454321183223144</v>
      </c>
      <c r="I247">
        <f>-F247*(1/(D247^2)) + (1/D247)*($J$1+$J$2*D247+$J$3*(B247-C247)+D247*(B247-C247))*(1-F247)</f>
        <v>-25.445236593853391</v>
      </c>
      <c r="J247">
        <f t="shared" si="13"/>
        <v>41.009084589369749</v>
      </c>
      <c r="L247" s="3">
        <f t="shared" si="14"/>
        <v>0.75492362577121219</v>
      </c>
    </row>
    <row r="248" spans="2:12" x14ac:dyDescent="0.75">
      <c r="B248">
        <f t="shared" si="15"/>
        <v>24.000000000000071</v>
      </c>
      <c r="C248">
        <v>9.24</v>
      </c>
      <c r="D248">
        <v>0.16300000000000001</v>
      </c>
      <c r="F248">
        <f>1-EXP(-D248*($J$1+$J$2*D248+$J$3*(B248-C248)+D248*(B248-C248)))</f>
        <v>0.90566442339266739</v>
      </c>
      <c r="G248">
        <f t="shared" si="12"/>
        <v>13.367606889275836</v>
      </c>
      <c r="H248">
        <f>F248*(($J$1/D248)+$J$2+($J$3*(B248-C248))/D248)</f>
        <v>67.108900339878488</v>
      </c>
      <c r="I248">
        <f>-F248*(1/(D248^2)) + (1/D248)*($J$1+$J$2*D248+$J$3*(B248-C248)+D248*(B248-C248))*(1-F248)</f>
        <v>-25.704687943244309</v>
      </c>
      <c r="J248">
        <f t="shared" si="13"/>
        <v>41.404212396634179</v>
      </c>
      <c r="L248" s="3">
        <f t="shared" si="14"/>
        <v>0.75594006071814679</v>
      </c>
    </row>
    <row r="249" spans="2:12" x14ac:dyDescent="0.75">
      <c r="B249">
        <f t="shared" si="15"/>
        <v>24.100000000000072</v>
      </c>
      <c r="C249">
        <v>9.2899999999999991</v>
      </c>
      <c r="D249">
        <v>0.16300000000000001</v>
      </c>
      <c r="F249">
        <f>1-EXP(-D249*($J$1+$J$2*D249+$J$3*(B249-C249)+D249*(B249-C249)))</f>
        <v>0.90636376459322854</v>
      </c>
      <c r="G249">
        <f t="shared" si="12"/>
        <v>13.423247353625781</v>
      </c>
      <c r="H249">
        <f>F249*(($J$1/D249)+$J$2+($J$3*(B249-C249))/D249)</f>
        <v>67.369240150269931</v>
      </c>
      <c r="I249">
        <f>-F249*(1/(D249^2)) + (1/D249)*($J$1+$J$2*D249+$J$3*(B249-C249)+D249*(B249-C249))*(1-F249)</f>
        <v>-25.766928566533284</v>
      </c>
      <c r="J249">
        <f t="shared" si="13"/>
        <v>41.60231158373665</v>
      </c>
      <c r="L249" s="3">
        <f t="shared" si="14"/>
        <v>0.75605432070383971</v>
      </c>
    </row>
    <row r="250" spans="2:12" x14ac:dyDescent="0.75">
      <c r="B250">
        <f t="shared" si="15"/>
        <v>24.200000000000074</v>
      </c>
      <c r="C250">
        <v>9.32</v>
      </c>
      <c r="D250">
        <v>0.16200000000000001</v>
      </c>
      <c r="F250">
        <f>1-EXP(-D250*($J$1+$J$2*D250+$J$3*(B250-C250)+D250*(B250-C250)))</f>
        <v>0.90574420036892844</v>
      </c>
      <c r="G250">
        <f t="shared" si="12"/>
        <v>13.477473701489721</v>
      </c>
      <c r="H250">
        <f>F250*(($J$1/D250)+$J$2+($J$3*(B250-C250))/D250)</f>
        <v>68.032012373513638</v>
      </c>
      <c r="I250">
        <f>-F250*(1/(D250^2)) + (1/D250)*($J$1+$J$2*D250+$J$3*(B250-C250)+D250*(B250-C250))*(1-F250)</f>
        <v>-26.030187201695838</v>
      </c>
      <c r="J250">
        <f t="shared" si="13"/>
        <v>42.001825171817799</v>
      </c>
      <c r="L250" s="3">
        <f t="shared" si="14"/>
        <v>0.75707202550870611</v>
      </c>
    </row>
    <row r="251" spans="2:12" x14ac:dyDescent="0.75">
      <c r="B251">
        <f t="shared" si="15"/>
        <v>24.300000000000075</v>
      </c>
      <c r="C251">
        <v>9.35</v>
      </c>
      <c r="D251">
        <v>0.161</v>
      </c>
      <c r="F251">
        <f>1-EXP(-D251*($J$1+$J$2*D251+$J$3*(B251-C251)+D251*(B251-C251)))</f>
        <v>0.9051091030009264</v>
      </c>
      <c r="G251">
        <f t="shared" si="12"/>
        <v>13.531381089863919</v>
      </c>
      <c r="H251">
        <f>F251*(($J$1/D251)+$J$2+($J$3*(B251-C251))/D251)</f>
        <v>68.701435084956657</v>
      </c>
      <c r="I251">
        <f>-F251*(1/(D251^2)) + (1/D251)*($J$1+$J$2*D251+$J$3*(B251-C251)+D251*(B251-C251))*(1-F251)</f>
        <v>-26.296764440740688</v>
      </c>
      <c r="J251">
        <f t="shared" si="13"/>
        <v>42.404670644215969</v>
      </c>
      <c r="L251" s="3">
        <f t="shared" si="14"/>
        <v>0.75809195196342893</v>
      </c>
    </row>
    <row r="252" spans="2:12" x14ac:dyDescent="0.75">
      <c r="B252">
        <f t="shared" si="15"/>
        <v>24.400000000000077</v>
      </c>
      <c r="C252">
        <v>9.3800000000000008</v>
      </c>
      <c r="D252">
        <v>0.16</v>
      </c>
      <c r="F252">
        <f>1-EXP(-D252*($J$1+$J$2*D252+$J$3*(B252-C252)+D252*(B252-C252)))</f>
        <v>0.90445825437077243</v>
      </c>
      <c r="G252">
        <f t="shared" si="12"/>
        <v>13.58496298064907</v>
      </c>
      <c r="H252">
        <f>F252*(($J$1/D252)+$J$2+($J$3*(B252-C252))/D252)</f>
        <v>69.377600974328388</v>
      </c>
      <c r="I252">
        <f>-F252*(1/(D252^2)) + (1/D252)*($J$1+$J$2*D252+$J$3*(B252-C252)+D252*(B252-C252))*(1-F252)</f>
        <v>-26.566714516335317</v>
      </c>
      <c r="J252">
        <f t="shared" si="13"/>
        <v>42.810886457993071</v>
      </c>
      <c r="L252" s="3">
        <f t="shared" si="14"/>
        <v>0.75911413488985013</v>
      </c>
    </row>
    <row r="253" spans="2:12" x14ac:dyDescent="0.75">
      <c r="B253">
        <f t="shared" si="15"/>
        <v>24.500000000000078</v>
      </c>
      <c r="C253">
        <v>9.43</v>
      </c>
      <c r="D253">
        <v>0.16</v>
      </c>
      <c r="F253">
        <f>1-EXP(-D253*($J$1+$J$2*D253+$J$3*(B253-C253)+D253*(B253-C253)))</f>
        <v>0.90515127263174766</v>
      </c>
      <c r="G253">
        <f t="shared" si="12"/>
        <v>13.640629678560508</v>
      </c>
      <c r="H253">
        <f>F253*(($J$1/D253)+$J$2+($J$3*(B253-C253))/D253)</f>
        <v>69.642904635832394</v>
      </c>
      <c r="I253">
        <f>-F253*(1/(D253^2)) + (1/D253)*($J$1+$J$2*D253+$J$3*(B253-C253)+D253*(B253-C253))*(1-F253)</f>
        <v>-26.630380901570099</v>
      </c>
      <c r="J253">
        <f t="shared" si="13"/>
        <v>43.012523734262295</v>
      </c>
      <c r="L253" s="3">
        <f t="shared" si="14"/>
        <v>0.75922558839464171</v>
      </c>
    </row>
    <row r="254" spans="2:12" x14ac:dyDescent="0.75">
      <c r="B254">
        <f t="shared" si="15"/>
        <v>24.60000000000008</v>
      </c>
      <c r="C254">
        <v>9.4600000000000009</v>
      </c>
      <c r="D254">
        <v>0.159</v>
      </c>
      <c r="F254">
        <f>1-EXP(-D254*($J$1+$J$2*D254+$J$3*(B254-C254)+D254*(B254-C254)))</f>
        <v>0.90448417992699126</v>
      </c>
      <c r="G254">
        <f t="shared" si="12"/>
        <v>13.69389048409472</v>
      </c>
      <c r="H254">
        <f>F254*(($J$1/D254)+$J$2+($J$3*(B254-C254))/D254)</f>
        <v>70.327626995147483</v>
      </c>
      <c r="I254">
        <f>-F254*(1/(D254^2)) + (1/D254)*($J$1+$J$2*D254+$J$3*(B254-C254)+D254*(B254-C254))*(1-F254)</f>
        <v>-26.90434608281722</v>
      </c>
      <c r="J254">
        <f t="shared" si="13"/>
        <v>43.423280912330263</v>
      </c>
      <c r="L254" s="3">
        <f t="shared" si="14"/>
        <v>0.76024914838566693</v>
      </c>
    </row>
    <row r="255" spans="2:12" x14ac:dyDescent="0.75">
      <c r="B255">
        <f t="shared" si="15"/>
        <v>24.700000000000081</v>
      </c>
      <c r="C255">
        <v>9.49</v>
      </c>
      <c r="D255">
        <v>0.158</v>
      </c>
      <c r="F255">
        <f>1-EXP(-D255*($J$1+$J$2*D255+$J$3*(B255-C255)+D255*(B255-C255)))</f>
        <v>0.90380093493339009</v>
      </c>
      <c r="G255">
        <f t="shared" si="12"/>
        <v>13.746812220336937</v>
      </c>
      <c r="H255">
        <f>F255*(($J$1/D255)+$J$2+($J$3*(B255-C255))/D255)</f>
        <v>71.0193046048865</v>
      </c>
      <c r="I255">
        <f>-F255*(1/(D255^2)) + (1/D255)*($J$1+$J$2*D255+$J$3*(B255-C255)+D255*(B255-C255))*(1-F255)</f>
        <v>-27.18180721672233</v>
      </c>
      <c r="J255">
        <f t="shared" si="13"/>
        <v>43.837497388164167</v>
      </c>
      <c r="L255" s="3">
        <f t="shared" si="14"/>
        <v>0.76127503631114979</v>
      </c>
    </row>
    <row r="256" spans="2:12" x14ac:dyDescent="0.75">
      <c r="B256">
        <f t="shared" si="15"/>
        <v>24.800000000000082</v>
      </c>
      <c r="C256">
        <v>9.5299999999999994</v>
      </c>
      <c r="D256">
        <v>0.158</v>
      </c>
      <c r="F256">
        <f>1-EXP(-D256*($J$1+$J$2*D256+$J$3*(B256-C256)+D256*(B256-C256)))</f>
        <v>0.90462544736707129</v>
      </c>
      <c r="G256">
        <f t="shared" si="12"/>
        <v>13.813630581295254</v>
      </c>
      <c r="H256">
        <f>F256*(($J$1/D256)+$J$2+($J$3*(B256-C256))/D256)</f>
        <v>71.341740027675385</v>
      </c>
      <c r="I256">
        <f>-F256*(1/(D256^2)) + (1/D256)*($J$1+$J$2*D256+$J$3*(B256-C256)+D256*(B256-C256))*(1-F256)</f>
        <v>-27.25927893163766</v>
      </c>
      <c r="J256">
        <f t="shared" si="13"/>
        <v>44.082461096037726</v>
      </c>
      <c r="L256" s="3">
        <f t="shared" si="14"/>
        <v>0.76140650981621516</v>
      </c>
    </row>
    <row r="257" spans="2:12" x14ac:dyDescent="0.75">
      <c r="B257">
        <f t="shared" si="15"/>
        <v>24.900000000000084</v>
      </c>
      <c r="C257">
        <v>9.56</v>
      </c>
      <c r="D257">
        <v>0.157</v>
      </c>
      <c r="F257">
        <f>1-EXP(-D257*($J$1+$J$2*D257+$J$3*(B257-C257)+D257*(B257-C257)))</f>
        <v>0.90392566939723129</v>
      </c>
      <c r="G257">
        <f t="shared" si="12"/>
        <v>13.866219768553604</v>
      </c>
      <c r="H257">
        <f>F257*(($J$1/D257)+$J$2+($J$3*(B257-C257))/D257)</f>
        <v>72.042587976542691</v>
      </c>
      <c r="I257">
        <f>-F257*(1/(D257^2)) + (1/D257)*($J$1+$J$2*D257+$J$3*(B257-C257)+D257*(B257-C257))*(1-F257)</f>
        <v>-27.541026471909525</v>
      </c>
      <c r="J257">
        <f t="shared" si="13"/>
        <v>44.501561504633166</v>
      </c>
      <c r="L257" s="3">
        <f t="shared" si="14"/>
        <v>0.76243366689486403</v>
      </c>
    </row>
    <row r="258" spans="2:12" x14ac:dyDescent="0.75">
      <c r="B258">
        <f t="shared" si="15"/>
        <v>25.000000000000085</v>
      </c>
      <c r="C258">
        <v>9.59</v>
      </c>
      <c r="D258">
        <v>0.156</v>
      </c>
      <c r="F258">
        <f>1-EXP(-D258*($J$1+$J$2*D258+$J$3*(B258-C258)+D258*(B258-C258)))</f>
        <v>0.90320931900047741</v>
      </c>
      <c r="G258">
        <f t="shared" si="12"/>
        <v>13.918455605797433</v>
      </c>
      <c r="H258">
        <f>F258*(($J$1/D258)+$J$2+($J$3*(B258-C258))/D258)</f>
        <v>72.750615743825364</v>
      </c>
      <c r="I258">
        <f>-F258*(1/(D258^2)) + (1/D258)*($J$1+$J$2*D258+$J$3*(B258-C258)+D258*(B258-C258))*(1-F258)</f>
        <v>-27.826400368379595</v>
      </c>
      <c r="J258">
        <f t="shared" si="13"/>
        <v>44.924215375445769</v>
      </c>
      <c r="L258" s="3">
        <f t="shared" si="14"/>
        <v>0.76346322534824929</v>
      </c>
    </row>
    <row r="259" spans="2:12" x14ac:dyDescent="0.75">
      <c r="B259">
        <f t="shared" si="15"/>
        <v>25.100000000000087</v>
      </c>
      <c r="C259">
        <v>9.6199999999999992</v>
      </c>
      <c r="D259">
        <v>0.155</v>
      </c>
      <c r="F259">
        <f>1-EXP(-D259*($J$1+$J$2*D259+$J$3*(B259-C259)+D259*(B259-C259)))</f>
        <v>0.90247614361148809</v>
      </c>
      <c r="G259">
        <f t="shared" si="12"/>
        <v>13.970330703105915</v>
      </c>
      <c r="H259">
        <f>F259*(($J$1/D259)+$J$2+($J$3*(B259-C259))/D259)</f>
        <v>73.465924910025237</v>
      </c>
      <c r="I259">
        <f>-F259*(1/(D259^2)) + (1/D259)*($J$1+$J$2*D259+$J$3*(B259-C259)+D259*(B259-C259))*(1-F259)</f>
        <v>-28.115460342016732</v>
      </c>
      <c r="J259">
        <f t="shared" si="13"/>
        <v>45.350464568008505</v>
      </c>
      <c r="L259" s="3">
        <f t="shared" si="14"/>
        <v>0.76449522230345746</v>
      </c>
    </row>
    <row r="260" spans="2:12" x14ac:dyDescent="0.75">
      <c r="B260">
        <f t="shared" si="15"/>
        <v>25.200000000000088</v>
      </c>
      <c r="C260">
        <v>9.66</v>
      </c>
      <c r="D260">
        <v>0.155</v>
      </c>
      <c r="F260">
        <f>1-EXP(-D260*($J$1+$J$2*D260+$J$3*(B260-C260)+D260*(B260-C260)))</f>
        <v>0.90329350864736935</v>
      </c>
      <c r="G260">
        <f t="shared" si="12"/>
        <v>14.037181124380199</v>
      </c>
      <c r="H260">
        <f>F260*(($J$1/D260)+$J$2+($J$3*(B260-C260))/D260)</f>
        <v>73.794708881448614</v>
      </c>
      <c r="I260">
        <f>-F260*(1/(D260^2)) + (1/D260)*($J$1+$J$2*D260+$J$3*(B260-C260)+D260*(B260-C260))*(1-F260)</f>
        <v>-28.194793591566881</v>
      </c>
      <c r="J260">
        <f t="shared" si="13"/>
        <v>45.599915289881736</v>
      </c>
      <c r="L260" s="3">
        <f t="shared" si="14"/>
        <v>0.76462333063849042</v>
      </c>
    </row>
    <row r="261" spans="2:12" x14ac:dyDescent="0.75">
      <c r="B261">
        <f t="shared" si="15"/>
        <v>25.30000000000009</v>
      </c>
      <c r="C261">
        <v>9.69</v>
      </c>
      <c r="D261">
        <v>0.154</v>
      </c>
      <c r="F261">
        <f>1-EXP(-D261*($J$1+$J$2*D261+$J$3*(B261-C261)+D261*(B261-C261)))</f>
        <v>0.90254334461711172</v>
      </c>
      <c r="G261">
        <f t="shared" si="12"/>
        <v>14.088701609473196</v>
      </c>
      <c r="H261">
        <f>F261*(($J$1/D261)+$J$2+($J$3*(B261-C261))/D261)</f>
        <v>74.519604775815324</v>
      </c>
      <c r="I261">
        <f>-F261*(1/(D261^2)) + (1/D261)*($J$1+$J$2*D261+$J$3*(B261-C261)+D261*(B261-C261))*(1-F261)</f>
        <v>-28.488378261536582</v>
      </c>
      <c r="J261">
        <f t="shared" si="13"/>
        <v>46.031226514278742</v>
      </c>
      <c r="L261" s="3">
        <f t="shared" si="14"/>
        <v>0.76565671235546451</v>
      </c>
    </row>
    <row r="262" spans="2:12" x14ac:dyDescent="0.75">
      <c r="B262">
        <f t="shared" si="15"/>
        <v>25.400000000000091</v>
      </c>
      <c r="C262">
        <v>9.7200000000000006</v>
      </c>
      <c r="D262">
        <v>0.153</v>
      </c>
      <c r="F262">
        <f>1-EXP(-D262*($J$1+$J$2*D262+$J$3*(B262-C262)+D262*(B262-C262)))</f>
        <v>0.90177588956699095</v>
      </c>
      <c r="G262">
        <f t="shared" si="12"/>
        <v>14.1398459484105</v>
      </c>
      <c r="H262">
        <f>F262*(($J$1/D262)+$J$2+($J$3*(B262-C262))/D262)</f>
        <v>75.252019192353288</v>
      </c>
      <c r="I262">
        <f>-F262*(1/(D262^2)) + (1/D262)*($J$1+$J$2*D262+$J$3*(B262-C262)+D262*(B262-C262))*(1-F262)</f>
        <v>-28.785787118079288</v>
      </c>
      <c r="J262">
        <f t="shared" si="13"/>
        <v>46.466232074274004</v>
      </c>
      <c r="L262" s="3">
        <f t="shared" si="14"/>
        <v>0.76669260889777369</v>
      </c>
    </row>
    <row r="263" spans="2:12" x14ac:dyDescent="0.75">
      <c r="B263">
        <f t="shared" si="15"/>
        <v>25.500000000000092</v>
      </c>
      <c r="C263">
        <v>9.77</v>
      </c>
      <c r="D263">
        <v>0.153</v>
      </c>
      <c r="F263">
        <f>1-EXP(-D263*($J$1+$J$2*D263+$J$3*(B263-C263)+D263*(B263-C263)))</f>
        <v>0.90245207858174115</v>
      </c>
      <c r="G263">
        <f t="shared" si="12"/>
        <v>14.195571196090873</v>
      </c>
      <c r="H263">
        <f>F263*(($J$1/D263)+$J$2+($J$3*(B263-C263))/D263)</f>
        <v>75.529635516673508</v>
      </c>
      <c r="I263">
        <f>-F263*(1/(D263^2)) + (1/D263)*($J$1+$J$2*D263+$J$3*(B263-C263)+D263*(B263-C263))*(1-F263)</f>
        <v>-28.85291650736168</v>
      </c>
      <c r="J263">
        <f t="shared" si="13"/>
        <v>46.676719009311824</v>
      </c>
      <c r="L263" s="3">
        <f t="shared" si="14"/>
        <v>0.76679748456661567</v>
      </c>
    </row>
    <row r="264" spans="2:12" x14ac:dyDescent="0.75">
      <c r="B264">
        <f t="shared" si="15"/>
        <v>25.600000000000094</v>
      </c>
      <c r="C264">
        <v>9.7899999999999991</v>
      </c>
      <c r="D264">
        <v>0.152</v>
      </c>
      <c r="F264">
        <f>1-EXP(-D264*($J$1+$J$2*D264+$J$3*(B264-C264)+D264*(B264-C264)))</f>
        <v>0.90180200093996266</v>
      </c>
      <c r="G264">
        <f t="shared" si="12"/>
        <v>14.257489634860894</v>
      </c>
      <c r="H264">
        <f>F264*(($J$1/D264)+$J$2+($J$3*(B264-C264))/D264)</f>
        <v>76.327453436136693</v>
      </c>
      <c r="I264">
        <f>-F264*(1/(D264^2)) + (1/D264)*($J$1+$J$2*D264+$J$3*(B264-C264)+D264*(B264-C264))*(1-F264)</f>
        <v>-29.16841610337076</v>
      </c>
      <c r="J264">
        <f t="shared" si="13"/>
        <v>47.159037332765934</v>
      </c>
      <c r="L264" s="3">
        <f t="shared" si="14"/>
        <v>0.76785581440682671</v>
      </c>
    </row>
    <row r="265" spans="2:12" x14ac:dyDescent="0.75">
      <c r="B265">
        <f t="shared" si="15"/>
        <v>25.700000000000095</v>
      </c>
      <c r="C265">
        <v>9.84</v>
      </c>
      <c r="D265">
        <v>0.152</v>
      </c>
      <c r="F265">
        <f>1-EXP(-D265*($J$1+$J$2*D265+$J$3*(B265-C265)+D265*(B265-C265)))</f>
        <v>0.90247286577959129</v>
      </c>
      <c r="G265">
        <f t="shared" ref="G265:G308" si="16">F265*(B265-C265)</f>
        <v>14.313219651264404</v>
      </c>
      <c r="H265">
        <f>F265*(($J$1/D265)+$J$2+($J$3*(B265-C265))/D265)</f>
        <v>76.606884197419859</v>
      </c>
      <c r="I265">
        <f>-F265*(1/(D265^2)) + (1/D265)*($J$1+$J$2*D265+$J$3*(B265-C265)+D265*(B265-C265))*(1-F265)</f>
        <v>-29.235903094684019</v>
      </c>
      <c r="J265">
        <f t="shared" ref="J265:J308" si="17">H265+I265</f>
        <v>47.37098110273584</v>
      </c>
      <c r="L265" s="3">
        <f t="shared" ref="L265:L308" si="18">J265/(G265+J265)</f>
        <v>0.76795971291990539</v>
      </c>
    </row>
    <row r="266" spans="2:12" x14ac:dyDescent="0.75">
      <c r="B266">
        <f t="shared" ref="B266:B308" si="19">B265+0.1</f>
        <v>25.800000000000097</v>
      </c>
      <c r="C266">
        <v>9.8699999999999992</v>
      </c>
      <c r="D266">
        <v>0.151</v>
      </c>
      <c r="F266">
        <f>1-EXP(-D266*($J$1+$J$2*D266+$J$3*(B266-C266)+D266*(B266-C266)))</f>
        <v>0.90167062634141659</v>
      </c>
      <c r="G266">
        <f t="shared" si="16"/>
        <v>14.363613077618854</v>
      </c>
      <c r="H266">
        <f>F266*(($J$1/D266)+$J$2+($J$3*(B266-C266))/D266)</f>
        <v>77.358861243605517</v>
      </c>
      <c r="I266">
        <f>-F266*(1/(D266^2)) + (1/D266)*($J$1+$J$2*D266+$J$3*(B266-C266)+D266*(B266-C266))*(1-F266)</f>
        <v>-29.542664064718238</v>
      </c>
      <c r="J266">
        <f t="shared" si="17"/>
        <v>47.816197178887279</v>
      </c>
      <c r="L266" s="3">
        <f t="shared" si="18"/>
        <v>0.76899876312961368</v>
      </c>
    </row>
    <row r="267" spans="2:12" x14ac:dyDescent="0.75">
      <c r="B267">
        <f t="shared" si="19"/>
        <v>25.900000000000098</v>
      </c>
      <c r="C267">
        <v>9.9</v>
      </c>
      <c r="D267">
        <v>0.15</v>
      </c>
      <c r="F267">
        <f>1-EXP(-D267*($J$1+$J$2*D267+$J$3*(B267-C267)+D267*(B267-C267)))</f>
        <v>0.9008503545581481</v>
      </c>
      <c r="G267">
        <f t="shared" si="16"/>
        <v>14.413605672930458</v>
      </c>
      <c r="H267">
        <f>F267*(($J$1/D267)+$J$2+($J$3*(B267-C267))/D267)</f>
        <v>78.118739912767865</v>
      </c>
      <c r="I267">
        <f>-F267*(1/(D267^2)) + (1/D267)*($J$1+$J$2*D267+$J$3*(B267-C267)+D267*(B267-C267))*(1-F267)</f>
        <v>-29.853472454948747</v>
      </c>
      <c r="J267">
        <f t="shared" si="17"/>
        <v>48.265267457819121</v>
      </c>
      <c r="L267" s="3">
        <f t="shared" si="18"/>
        <v>0.77004044659731929</v>
      </c>
    </row>
    <row r="268" spans="2:12" x14ac:dyDescent="0.75">
      <c r="B268">
        <f t="shared" si="19"/>
        <v>26.000000000000099</v>
      </c>
      <c r="C268">
        <v>9.94</v>
      </c>
      <c r="D268">
        <v>0.15</v>
      </c>
      <c r="F268">
        <f>1-EXP(-D268*($J$1+$J$2*D268+$J$3*(B268-C268)+D268*(B268-C268)))</f>
        <v>0.90165022284638463</v>
      </c>
      <c r="G268">
        <f t="shared" si="16"/>
        <v>14.480502578913029</v>
      </c>
      <c r="H268">
        <f>F268*(($J$1/D268)+$J$2+($J$3*(B268-C268))/D268)</f>
        <v>78.458596891350027</v>
      </c>
      <c r="I268">
        <f>-F268*(1/(D268^2)) + (1/D268)*($J$1+$J$2*D268+$J$3*(B268-C268)+D268*(B268-C268))*(1-F268)</f>
        <v>-29.935776041212875</v>
      </c>
      <c r="J268">
        <f t="shared" si="17"/>
        <v>48.522820850137151</v>
      </c>
      <c r="L268" s="3">
        <f t="shared" si="18"/>
        <v>0.7701628772771022</v>
      </c>
    </row>
    <row r="269" spans="2:12" x14ac:dyDescent="0.75">
      <c r="B269">
        <f t="shared" si="19"/>
        <v>26.100000000000101</v>
      </c>
      <c r="C269">
        <v>9.9700000000000006</v>
      </c>
      <c r="D269">
        <v>0.14899999999999999</v>
      </c>
      <c r="F269">
        <f>1-EXP(-D269*($J$1+$J$2*D269+$J$3*(B269-C269)+D269*(B269-C269)))</f>
        <v>0.90081214285537259</v>
      </c>
      <c r="G269">
        <f t="shared" si="16"/>
        <v>14.530099864257252</v>
      </c>
      <c r="H269">
        <f>F269*(($J$1/D269)+$J$2+($J$3*(B269-C269))/D269)</f>
        <v>79.228846251762306</v>
      </c>
      <c r="I269">
        <f>-F269*(1/(D269^2)) + (1/D269)*($J$1+$J$2*D269+$J$3*(B269-C269)+D269*(B269-C269))*(1-F269)</f>
        <v>-30.251557388275721</v>
      </c>
      <c r="J269">
        <f t="shared" si="17"/>
        <v>48.977288863486585</v>
      </c>
      <c r="L269" s="3">
        <f t="shared" si="18"/>
        <v>0.7712061516724017</v>
      </c>
    </row>
    <row r="270" spans="2:12" x14ac:dyDescent="0.75">
      <c r="B270">
        <f t="shared" si="19"/>
        <v>26.200000000000102</v>
      </c>
      <c r="C270">
        <v>10</v>
      </c>
      <c r="D270">
        <v>0.14799999999999999</v>
      </c>
      <c r="F270">
        <f>1-EXP(-D270*($J$1+$J$2*D270+$J$3*(B270-C270)+D270*(B270-C270)))</f>
        <v>0.89995548079373833</v>
      </c>
      <c r="G270">
        <f t="shared" si="16"/>
        <v>14.579278788858653</v>
      </c>
      <c r="H270">
        <f>F270*(($J$1/D270)+$J$2+($J$3*(B270-C270))/D270)</f>
        <v>80.007258398618944</v>
      </c>
      <c r="I270">
        <f>-F270*(1/(D270^2)) + (1/D270)*($J$1+$J$2*D270+$J$3*(B270-C270)+D270*(B270-C270))*(1-F270)</f>
        <v>-30.571539049864583</v>
      </c>
      <c r="J270">
        <f t="shared" si="17"/>
        <v>49.435719348754361</v>
      </c>
      <c r="L270" s="3">
        <f t="shared" si="18"/>
        <v>0.77225214070119019</v>
      </c>
    </row>
    <row r="271" spans="2:12" x14ac:dyDescent="0.75">
      <c r="B271">
        <f t="shared" si="19"/>
        <v>26.300000000000104</v>
      </c>
      <c r="C271">
        <v>10.039999999999999</v>
      </c>
      <c r="D271">
        <v>0.14799999999999999</v>
      </c>
      <c r="F271">
        <f>1-EXP(-D271*($J$1+$J$2*D271+$J$3*(B271-C271)+D271*(B271-C271)))</f>
        <v>0.9007500873980403</v>
      </c>
      <c r="G271">
        <f t="shared" si="16"/>
        <v>14.646196421092229</v>
      </c>
      <c r="H271">
        <f>F271*(($J$1/D271)+$J$2+($J$3*(B271-C271))/D271)</f>
        <v>80.351776715297021</v>
      </c>
      <c r="I271">
        <f>-F271*(1/(D271^2)) + (1/D271)*($J$1+$J$2*D271+$J$3*(B271-C271)+D271*(B271-C271))*(1-F271)</f>
        <v>-30.655197725415285</v>
      </c>
      <c r="J271">
        <f t="shared" si="17"/>
        <v>49.696578989881736</v>
      </c>
      <c r="L271" s="3">
        <f t="shared" si="18"/>
        <v>0.7723723242035615</v>
      </c>
    </row>
    <row r="272" spans="2:12" x14ac:dyDescent="0.75">
      <c r="B272">
        <f t="shared" si="19"/>
        <v>26.400000000000105</v>
      </c>
      <c r="C272">
        <v>10.07</v>
      </c>
      <c r="D272">
        <v>0.14699999999999999</v>
      </c>
      <c r="F272">
        <f>1-EXP(-D272*($J$1+$J$2*D272+$J$3*(B272-C272)+D272*(B272-C272)))</f>
        <v>0.89987520489623118</v>
      </c>
      <c r="G272">
        <f t="shared" si="16"/>
        <v>14.69496209595555</v>
      </c>
      <c r="H272">
        <f>F272*(($J$1/D272)+$J$2+($J$3*(B272-C272))/D272)</f>
        <v>81.140890201488986</v>
      </c>
      <c r="I272">
        <f>-F272*(1/(D272^2)) + (1/D272)*($J$1+$J$2*D272+$J$3*(B272-C272)+D272*(B272-C272))*(1-F272)</f>
        <v>-30.980342319945226</v>
      </c>
      <c r="J272">
        <f t="shared" si="17"/>
        <v>50.160547881543764</v>
      </c>
      <c r="L272" s="3">
        <f t="shared" si="18"/>
        <v>0.77341999005090312</v>
      </c>
    </row>
    <row r="273" spans="2:12" x14ac:dyDescent="0.75">
      <c r="B273">
        <f t="shared" si="19"/>
        <v>26.500000000000107</v>
      </c>
      <c r="C273">
        <v>10.1</v>
      </c>
      <c r="D273">
        <v>0.14599999999999999</v>
      </c>
      <c r="F273">
        <f>1-EXP(-D273*($J$1+$J$2*D273+$J$3*(B273-C273)+D273*(B273-C273)))</f>
        <v>0.89898115546598911</v>
      </c>
      <c r="G273">
        <f t="shared" si="16"/>
        <v>14.743290949642317</v>
      </c>
      <c r="H273">
        <f>F273*(($J$1/D273)+$J$2+($J$3*(B273-C273))/D273)</f>
        <v>81.938437877620743</v>
      </c>
      <c r="I273">
        <f>-F273*(1/(D273^2)) + (1/D273)*($J$1+$J$2*D273+$J$3*(B273-C273)+D273*(B273-C273))*(1-F273)</f>
        <v>-31.309846460307501</v>
      </c>
      <c r="J273">
        <f t="shared" si="17"/>
        <v>50.628591417313245</v>
      </c>
      <c r="L273" s="3">
        <f t="shared" si="18"/>
        <v>0.77447045402665637</v>
      </c>
    </row>
    <row r="274" spans="2:12" x14ac:dyDescent="0.75">
      <c r="B274">
        <f t="shared" si="19"/>
        <v>26.600000000000108</v>
      </c>
      <c r="C274">
        <v>10.14</v>
      </c>
      <c r="D274">
        <v>0.14599999999999999</v>
      </c>
      <c r="F274">
        <f>1-EXP(-D274*($J$1+$J$2*D274+$J$3*(B274-C274)+D274*(B274-C274)))</f>
        <v>0.89977094476900499</v>
      </c>
      <c r="G274">
        <f t="shared" si="16"/>
        <v>14.810229750897919</v>
      </c>
      <c r="H274">
        <f>F274*(($J$1/D274)+$J$2+($J$3*(B274-C274))/D274)</f>
        <v>82.287750587940124</v>
      </c>
      <c r="I274">
        <f>-F274*(1/(D274^2)) + (1/D274)*($J$1+$J$2*D274+$J$3*(B274-C274)+D274*(B274-C274))*(1-F274)</f>
        <v>-31.394930271704943</v>
      </c>
      <c r="J274">
        <f t="shared" si="17"/>
        <v>50.892820316235181</v>
      </c>
      <c r="L274" s="3">
        <f t="shared" si="18"/>
        <v>0.77458839831993576</v>
      </c>
    </row>
    <row r="275" spans="2:12" x14ac:dyDescent="0.75">
      <c r="B275">
        <f t="shared" si="19"/>
        <v>26.700000000000109</v>
      </c>
      <c r="C275">
        <v>10.17</v>
      </c>
      <c r="D275">
        <v>0.14499999999999999</v>
      </c>
      <c r="F275">
        <f>1-EXP(-D275*($J$1+$J$2*D275+$J$3*(B275-C275)+D275*(B275-C275)))</f>
        <v>0.89885822160633988</v>
      </c>
      <c r="G275">
        <f t="shared" si="16"/>
        <v>14.858126403152895</v>
      </c>
      <c r="H275">
        <f>F275*(($J$1/D275)+$J$2+($J$3*(B275-C275))/D275)</f>
        <v>83.096343076397645</v>
      </c>
      <c r="I275">
        <f>-F275*(1/(D275^2)) + (1/D275)*($J$1+$J$2*D275+$J$3*(B275-C275)+D275*(B275-C275))*(1-F275)</f>
        <v>-31.729795120755096</v>
      </c>
      <c r="J275">
        <f t="shared" si="17"/>
        <v>51.366547955642545</v>
      </c>
      <c r="L275" s="3">
        <f t="shared" si="18"/>
        <v>0.77564062719804749</v>
      </c>
    </row>
    <row r="276" spans="2:12" x14ac:dyDescent="0.75">
      <c r="B276">
        <f t="shared" si="19"/>
        <v>26.800000000000111</v>
      </c>
      <c r="C276">
        <v>10.210000000000001</v>
      </c>
      <c r="D276">
        <v>0.14499999999999999</v>
      </c>
      <c r="F276">
        <f>1-EXP(-D276*($J$1+$J$2*D276+$J$3*(B276-C276)+D276*(B276-C276)))</f>
        <v>0.8996427039144903</v>
      </c>
      <c r="G276">
        <f t="shared" si="16"/>
        <v>14.925072457941493</v>
      </c>
      <c r="H276">
        <f>F276*(($J$1/D276)+$J$2+($J$3*(B276-C276))/D276)</f>
        <v>83.448065220510273</v>
      </c>
      <c r="I276">
        <f>-F276*(1/(D276^2)) + (1/D276)*($J$1+$J$2*D276+$J$3*(B276-C276)+D276*(B276-C276))*(1-F276)</f>
        <v>-31.815430373551706</v>
      </c>
      <c r="J276">
        <f t="shared" si="17"/>
        <v>51.632634846958567</v>
      </c>
      <c r="L276" s="3">
        <f t="shared" si="18"/>
        <v>0.7757574131937881</v>
      </c>
    </row>
    <row r="277" spans="2:12" x14ac:dyDescent="0.75">
      <c r="B277">
        <f t="shared" si="19"/>
        <v>26.900000000000112</v>
      </c>
      <c r="C277">
        <v>10.24</v>
      </c>
      <c r="D277">
        <v>0.14399999999999999</v>
      </c>
      <c r="F277">
        <f>1-EXP(-D277*($J$1+$J$2*D277+$J$3*(B277-C277)+D277*(B277-C277)))</f>
        <v>0.89871111121778724</v>
      </c>
      <c r="G277">
        <f t="shared" si="16"/>
        <v>14.972527112888434</v>
      </c>
      <c r="H277">
        <f>F277*(($J$1/D277)+$J$2+($J$3*(B277-C277))/D277)</f>
        <v>84.26789698531168</v>
      </c>
      <c r="I277">
        <f>-F277*(1/(D277^2)) + (1/D277)*($J$1+$J$2*D277+$J$3*(B277-C277)+D277*(B277-C277))*(1-F277)</f>
        <v>-32.155767038872042</v>
      </c>
      <c r="J277">
        <f t="shared" si="17"/>
        <v>52.112129946439637</v>
      </c>
      <c r="L277" s="3">
        <f t="shared" si="18"/>
        <v>0.77681145333057178</v>
      </c>
    </row>
    <row r="278" spans="2:12" x14ac:dyDescent="0.75">
      <c r="B278">
        <f t="shared" si="19"/>
        <v>27.000000000000114</v>
      </c>
      <c r="C278">
        <v>10.26</v>
      </c>
      <c r="D278">
        <v>0.14299999999999999</v>
      </c>
      <c r="F278">
        <f>1-EXP(-D278*($J$1+$J$2*D278+$J$3*(B278-C278)+D278*(B278-C278)))</f>
        <v>0.89788990754806564</v>
      </c>
      <c r="G278">
        <f t="shared" si="16"/>
        <v>15.030677052354722</v>
      </c>
      <c r="H278">
        <f>F278*(($J$1/D278)+$J$2+($J$3*(B278-C278))/D278)</f>
        <v>85.156067200371169</v>
      </c>
      <c r="I278">
        <f>-F278*(1/(D278^2)) + (1/D278)*($J$1+$J$2*D278+$J$3*(B278-C278)+D278*(B278-C278))*(1-F278)</f>
        <v>-32.51527853548059</v>
      </c>
      <c r="J278">
        <f t="shared" si="17"/>
        <v>52.640788664890579</v>
      </c>
      <c r="L278" s="3">
        <f t="shared" si="18"/>
        <v>0.77788752034486641</v>
      </c>
    </row>
    <row r="279" spans="2:12" x14ac:dyDescent="0.75">
      <c r="B279">
        <f t="shared" si="19"/>
        <v>27.100000000000115</v>
      </c>
      <c r="C279">
        <v>10.31</v>
      </c>
      <c r="D279">
        <v>0.14299999999999999</v>
      </c>
      <c r="F279">
        <f>1-EXP(-D279*($J$1+$J$2*D279+$J$3*(B279-C279)+D279*(B279-C279)))</f>
        <v>0.89853979841465026</v>
      </c>
      <c r="G279">
        <f t="shared" si="16"/>
        <v>15.08648321538208</v>
      </c>
      <c r="H279">
        <f>F279*(($J$1/D279)+$J$2+($J$3*(B279-C279))/D279)</f>
        <v>85.45333405251661</v>
      </c>
      <c r="I279">
        <f>-F279*(1/(D279^2)) + (1/D279)*($J$1+$J$2*D279+$J$3*(B279-C279)+D279*(B279-C279))*(1-F279)</f>
        <v>-32.587894846980106</v>
      </c>
      <c r="J279">
        <f t="shared" si="17"/>
        <v>52.865439205536504</v>
      </c>
      <c r="L279" s="3">
        <f t="shared" si="18"/>
        <v>0.77798298152727763</v>
      </c>
    </row>
    <row r="280" spans="2:12" x14ac:dyDescent="0.75">
      <c r="B280">
        <f t="shared" si="19"/>
        <v>27.200000000000117</v>
      </c>
      <c r="C280">
        <v>10.34</v>
      </c>
      <c r="D280">
        <v>0.14199999999999999</v>
      </c>
      <c r="F280">
        <f>1-EXP(-D280*($J$1+$J$2*D280+$J$3*(B280-C280)+D280*(B280-C280)))</f>
        <v>0.89756872980545976</v>
      </c>
      <c r="G280">
        <f t="shared" si="16"/>
        <v>15.133008784520156</v>
      </c>
      <c r="H280">
        <f>F280*(($J$1/D280)+$J$2+($J$3*(B280-C280))/D280)</f>
        <v>86.293648282938008</v>
      </c>
      <c r="I280">
        <f>-F280*(1/(D280^2)) + (1/D280)*($J$1+$J$2*D280+$J$3*(B280-C280)+D280*(B280-C280))*(1-F280)</f>
        <v>-32.938534165526249</v>
      </c>
      <c r="J280">
        <f t="shared" si="17"/>
        <v>53.355114117411759</v>
      </c>
      <c r="L280" s="3">
        <f t="shared" si="18"/>
        <v>0.77904185217356448</v>
      </c>
    </row>
    <row r="281" spans="2:12" x14ac:dyDescent="0.75">
      <c r="B281">
        <f t="shared" si="19"/>
        <v>27.300000000000118</v>
      </c>
      <c r="C281">
        <v>10.38</v>
      </c>
      <c r="D281">
        <v>0.14199999999999999</v>
      </c>
      <c r="F281">
        <f>1-EXP(-D281*($J$1+$J$2*D281+$J$3*(B281-C281)+D281*(B281-C281)))</f>
        <v>0.89834424045886241</v>
      </c>
      <c r="G281">
        <f t="shared" si="16"/>
        <v>15.199984548564055</v>
      </c>
      <c r="H281">
        <f>F281*(($J$1/D281)+$J$2+($J$3*(B281-C281))/D281)</f>
        <v>86.652893633726492</v>
      </c>
      <c r="I281">
        <f>-F281*(1/(D281^2)) + (1/D281)*($J$1+$J$2*D281+$J$3*(B281-C281)+D281*(B281-C281))*(1-F281)</f>
        <v>-33.026314031271298</v>
      </c>
      <c r="J281">
        <f t="shared" si="17"/>
        <v>53.626579602455195</v>
      </c>
      <c r="L281" s="3">
        <f t="shared" si="18"/>
        <v>0.77915526169209537</v>
      </c>
    </row>
    <row r="282" spans="2:12" x14ac:dyDescent="0.75">
      <c r="B282">
        <f t="shared" si="19"/>
        <v>27.400000000000119</v>
      </c>
      <c r="C282">
        <v>10.41</v>
      </c>
      <c r="D282">
        <v>0.14099999999999999</v>
      </c>
      <c r="F282">
        <f>1-EXP(-D282*($J$1+$J$2*D282+$J$3*(B282-C282)+D282*(B282-C282)))</f>
        <v>0.89735355208870204</v>
      </c>
      <c r="G282">
        <f t="shared" si="16"/>
        <v>15.246036849987155</v>
      </c>
      <c r="H282">
        <f>F282*(($J$1/D282)+$J$2+($J$3*(B282-C282))/D282)</f>
        <v>87.50501795830705</v>
      </c>
      <c r="I282">
        <f>-F282*(1/(D282^2)) + (1/D282)*($J$1+$J$2*D282+$J$3*(B282-C282)+D282*(B282-C282))*(1-F282)</f>
        <v>-33.382754023056393</v>
      </c>
      <c r="J282">
        <f t="shared" si="17"/>
        <v>54.122263935250658</v>
      </c>
      <c r="L282" s="3">
        <f t="shared" si="18"/>
        <v>0.78021608317625613</v>
      </c>
    </row>
    <row r="283" spans="2:12" x14ac:dyDescent="0.75">
      <c r="B283">
        <f t="shared" si="19"/>
        <v>27.500000000000121</v>
      </c>
      <c r="C283">
        <v>10.45</v>
      </c>
      <c r="D283">
        <v>0.14099999999999999</v>
      </c>
      <c r="F283">
        <f>1-EXP(-D283*($J$1+$J$2*D283+$J$3*(B283-C283)+D283*(B283-C283)))</f>
        <v>0.89812437780457588</v>
      </c>
      <c r="G283">
        <f t="shared" si="16"/>
        <v>15.313020641568128</v>
      </c>
      <c r="H283">
        <f>F283*(($J$1/D283)+$J$2+($J$3*(B283-C283))/D283)</f>
        <v>87.866820112370178</v>
      </c>
      <c r="I283">
        <f>-F283*(1/(D283^2)) + (1/D283)*($J$1+$J$2*D283+$J$3*(B283-C283)+D283*(B283-C283))*(1-F283)</f>
        <v>-33.471163011599415</v>
      </c>
      <c r="J283">
        <f t="shared" si="17"/>
        <v>54.395657100770762</v>
      </c>
      <c r="L283" s="3">
        <f t="shared" si="18"/>
        <v>0.78032834451158328</v>
      </c>
    </row>
    <row r="284" spans="2:12" x14ac:dyDescent="0.75">
      <c r="B284">
        <f t="shared" si="19"/>
        <v>27.600000000000122</v>
      </c>
      <c r="C284">
        <v>10.48</v>
      </c>
      <c r="D284">
        <v>0.14000000000000001</v>
      </c>
      <c r="F284">
        <f>1-EXP(-D284*($J$1+$J$2*D284+$J$3*(B284-C284)+D284*(B284-C284)))</f>
        <v>0.89711382511215765</v>
      </c>
      <c r="G284">
        <f t="shared" si="16"/>
        <v>15.358588685920248</v>
      </c>
      <c r="H284">
        <f>F284*(($J$1/D284)+$J$2+($J$3*(B284-C284))/D284)</f>
        <v>88.730965259486624</v>
      </c>
      <c r="I284">
        <f>-F284*(1/(D284^2)) + (1/D284)*($J$1+$J$2*D284+$J$3*(B284-C284)+D284*(B284-C284))*(1-F284)</f>
        <v>-33.833524614393738</v>
      </c>
      <c r="J284">
        <f t="shared" si="17"/>
        <v>54.897440645092885</v>
      </c>
      <c r="L284" s="3">
        <f t="shared" si="18"/>
        <v>0.78139116553886279</v>
      </c>
    </row>
    <row r="285" spans="2:12" x14ac:dyDescent="0.75">
      <c r="B285">
        <f t="shared" si="19"/>
        <v>27.700000000000124</v>
      </c>
      <c r="C285">
        <v>10.5</v>
      </c>
      <c r="D285">
        <v>0.13900000000000001</v>
      </c>
      <c r="F285">
        <f>1-EXP(-D285*($J$1+$J$2*D285+$J$3*(B285-C285)+D285*(B285-C285)))</f>
        <v>0.8962101658557764</v>
      </c>
      <c r="G285">
        <f t="shared" si="16"/>
        <v>15.414814852719465</v>
      </c>
      <c r="H285">
        <f>F285*(($J$1/D285)+$J$2+($J$3*(B285-C285))/D285)</f>
        <v>89.66582709387103</v>
      </c>
      <c r="I285">
        <f>-F285*(1/(D285^2)) + (1/D285)*($J$1+$J$2*D285+$J$3*(B285-C285)+D285*(B285-C285))*(1-F285)</f>
        <v>-34.21593079580952</v>
      </c>
      <c r="J285">
        <f t="shared" si="17"/>
        <v>55.44989629806151</v>
      </c>
      <c r="L285" s="3">
        <f t="shared" si="18"/>
        <v>0.78247544366728738</v>
      </c>
    </row>
    <row r="286" spans="2:12" x14ac:dyDescent="0.75">
      <c r="B286">
        <f t="shared" si="19"/>
        <v>27.800000000000125</v>
      </c>
      <c r="C286">
        <v>10.55</v>
      </c>
      <c r="D286">
        <v>0.13900000000000001</v>
      </c>
      <c r="F286">
        <f>1-EXP(-D286*($J$1+$J$2*D286+$J$3*(B286-C286)+D286*(B286-C286)))</f>
        <v>0.89684945954778372</v>
      </c>
      <c r="G286">
        <f t="shared" si="16"/>
        <v>15.470653177199381</v>
      </c>
      <c r="H286">
        <f>F286*(($J$1/D286)+$J$2+($J$3*(B286-C286))/D286)</f>
        <v>89.971744217202698</v>
      </c>
      <c r="I286">
        <f>-F286*(1/(D286^2)) + (1/D286)*($J$1+$J$2*D286+$J$3*(B286-C286)+D286*(B286-C286))*(1-F286)</f>
        <v>-34.290990093939797</v>
      </c>
      <c r="J286">
        <f t="shared" si="17"/>
        <v>55.680754123262901</v>
      </c>
      <c r="L286" s="3">
        <f t="shared" si="18"/>
        <v>0.78256715131622046</v>
      </c>
    </row>
    <row r="287" spans="2:12" x14ac:dyDescent="0.75">
      <c r="B287">
        <f t="shared" si="19"/>
        <v>27.900000000000126</v>
      </c>
      <c r="C287">
        <v>10.57</v>
      </c>
      <c r="D287">
        <v>0.13800000000000001</v>
      </c>
      <c r="F287">
        <f>1-EXP(-D287*($J$1+$J$2*D287+$J$3*(B287-C287)+D287*(B287-C287)))</f>
        <v>0.89592460806310692</v>
      </c>
      <c r="G287">
        <f t="shared" si="16"/>
        <v>15.526373457733756</v>
      </c>
      <c r="H287">
        <f>F287*(($J$1/D287)+$J$2+($J$3*(B287-C287))/D287)</f>
        <v>90.919467979413454</v>
      </c>
      <c r="I287">
        <f>-F287*(1/(D287^2)) + (1/D287)*($J$1+$J$2*D287+$J$3*(B287-C287)+D287*(B287-C287))*(1-F287)</f>
        <v>-34.679662486458895</v>
      </c>
      <c r="J287">
        <f t="shared" si="17"/>
        <v>56.239805492954559</v>
      </c>
      <c r="L287" s="3">
        <f t="shared" si="18"/>
        <v>0.78365333525138392</v>
      </c>
    </row>
    <row r="288" spans="2:12" x14ac:dyDescent="0.75">
      <c r="B288">
        <f t="shared" si="19"/>
        <v>28.000000000000128</v>
      </c>
      <c r="C288">
        <v>10.62</v>
      </c>
      <c r="D288">
        <v>0.13800000000000001</v>
      </c>
      <c r="F288">
        <f>1-EXP(-D288*($J$1+$J$2*D288+$J$3*(B288-C288)+D288*(B288-C288)))</f>
        <v>0.89656034915921512</v>
      </c>
      <c r="G288">
        <f t="shared" si="16"/>
        <v>15.582218868387276</v>
      </c>
      <c r="H288">
        <f>F288*(($J$1/D288)+$J$2+($J$3*(B288-C288))/D288)</f>
        <v>91.227614252600503</v>
      </c>
      <c r="I288">
        <f>-F288*(1/(D288^2)) + (1/D288)*($J$1+$J$2*D288+$J$3*(B288-C288)+D288*(B288-C288))*(1-F288)</f>
        <v>-34.755297790132872</v>
      </c>
      <c r="J288">
        <f t="shared" si="17"/>
        <v>56.472316462467631</v>
      </c>
      <c r="L288" s="3">
        <f t="shared" si="18"/>
        <v>0.7837440933199008</v>
      </c>
    </row>
    <row r="289" spans="2:12" x14ac:dyDescent="0.75">
      <c r="B289">
        <f t="shared" si="19"/>
        <v>28.100000000000129</v>
      </c>
      <c r="C289">
        <v>10.64</v>
      </c>
      <c r="D289">
        <v>0.13700000000000001</v>
      </c>
      <c r="F289">
        <f>1-EXP(-D289*($J$1+$J$2*D289+$J$3*(B289-C289)+D289*(B289-C289)))</f>
        <v>0.89561404988161075</v>
      </c>
      <c r="G289">
        <f t="shared" si="16"/>
        <v>15.637421310933039</v>
      </c>
      <c r="H289">
        <f>F289*(($J$1/D289)+$J$2+($J$3*(B289-C289))/D289)</f>
        <v>92.188430579000567</v>
      </c>
      <c r="I289">
        <f>-F289*(1/(D289^2)) + (1/D289)*($J$1+$J$2*D289+$J$3*(B289-C289)+D289*(B289-C289))*(1-F289)</f>
        <v>-35.150368906375355</v>
      </c>
      <c r="J289">
        <f t="shared" si="17"/>
        <v>57.038061672625211</v>
      </c>
      <c r="L289" s="3">
        <f t="shared" si="18"/>
        <v>0.78483223407719527</v>
      </c>
    </row>
    <row r="290" spans="2:12" x14ac:dyDescent="0.75">
      <c r="B290">
        <f t="shared" si="19"/>
        <v>28.200000000000131</v>
      </c>
      <c r="C290">
        <v>10.69</v>
      </c>
      <c r="D290">
        <v>0.13700000000000001</v>
      </c>
      <c r="F290">
        <f>1-EXP(-D290*($J$1+$J$2*D290+$J$3*(B290-C290)+D290*(B290-C290)))</f>
        <v>0.89624637077487668</v>
      </c>
      <c r="G290">
        <f t="shared" si="16"/>
        <v>15.693273952268211</v>
      </c>
      <c r="H290">
        <f>F290*(($J$1/D290)+$J$2+($J$3*(B290-C290))/D290)</f>
        <v>92.498840311064527</v>
      </c>
      <c r="I290">
        <f>-F290*(1/(D290^2)) + (1/D290)*($J$1+$J$2*D290+$J$3*(B290-C290)+D290*(B290-C290))*(1-F290)</f>
        <v>-35.226598294174046</v>
      </c>
      <c r="J290">
        <f t="shared" si="17"/>
        <v>57.27224201689048</v>
      </c>
      <c r="L290" s="3">
        <f t="shared" si="18"/>
        <v>0.78492204510824681</v>
      </c>
    </row>
    <row r="291" spans="2:12" x14ac:dyDescent="0.75">
      <c r="B291">
        <f t="shared" si="19"/>
        <v>28.300000000000132</v>
      </c>
      <c r="C291">
        <v>10.71</v>
      </c>
      <c r="D291">
        <v>0.13600000000000001</v>
      </c>
      <c r="F291">
        <f>1-EXP(-D291*($J$1+$J$2*D291+$J$3*(B291-C291)+D291*(B291-C291)))</f>
        <v>0.89527835406298162</v>
      </c>
      <c r="G291">
        <f t="shared" si="16"/>
        <v>15.747946247967965</v>
      </c>
      <c r="H291">
        <f>F291*(($J$1/D291)+$J$2+($J$3*(B291-C291))/D291)</f>
        <v>93.472984800342516</v>
      </c>
      <c r="I291">
        <f>-F291*(1/(D291^2)) + (1/D291)*($J$1+$J$2*D291+$J$3*(B291-C291)+D291*(B291-C291))*(1-F291)</f>
        <v>-35.628203651195747</v>
      </c>
      <c r="J291">
        <f t="shared" si="17"/>
        <v>57.844781149146769</v>
      </c>
      <c r="L291" s="3">
        <f t="shared" si="18"/>
        <v>0.78601219434373926</v>
      </c>
    </row>
    <row r="292" spans="2:12" x14ac:dyDescent="0.75">
      <c r="B292">
        <f t="shared" si="19"/>
        <v>28.400000000000134</v>
      </c>
      <c r="C292">
        <v>10.76</v>
      </c>
      <c r="D292">
        <v>0.13600000000000001</v>
      </c>
      <c r="F292">
        <f>1-EXP(-D292*($J$1+$J$2*D292+$J$3*(B292-C292)+D292*(B292-C292)))</f>
        <v>0.89590738424218963</v>
      </c>
      <c r="G292">
        <f t="shared" si="16"/>
        <v>15.803806258032347</v>
      </c>
      <c r="H292">
        <f>F292*(($J$1/D292)+$J$2+($J$3*(B292-C292))/D292)</f>
        <v>93.785692999847768</v>
      </c>
      <c r="I292">
        <f>-F292*(1/(D292^2)) + (1/D292)*($J$1+$J$2*D292+$J$3*(B292-C292)+D292*(B292-C292))*(1-F292)</f>
        <v>-35.705045551250208</v>
      </c>
      <c r="J292">
        <f t="shared" si="17"/>
        <v>58.08064744859756</v>
      </c>
      <c r="L292" s="3">
        <f t="shared" si="18"/>
        <v>0.78610106097848531</v>
      </c>
    </row>
    <row r="293" spans="2:12" x14ac:dyDescent="0.75">
      <c r="B293">
        <f t="shared" si="19"/>
        <v>28.500000000000135</v>
      </c>
      <c r="C293">
        <v>10.78</v>
      </c>
      <c r="D293">
        <v>0.13500000000000001</v>
      </c>
      <c r="F293">
        <f>1-EXP(-D293*($J$1+$J$2*D293+$J$3*(B293-C293)+D293*(B293-C293)))</f>
        <v>0.8949173662245582</v>
      </c>
      <c r="G293">
        <f t="shared" si="16"/>
        <v>15.857935729499291</v>
      </c>
      <c r="H293">
        <f>F293*(($J$1/D293)+$J$2+($J$3*(B293-C293))/D293)</f>
        <v>94.773406337563259</v>
      </c>
      <c r="I293">
        <f>-F293*(1/(D293^2)) + (1/D293)*($J$1+$J$2*D293+$J$3*(B293-C293)+D293*(B293-C293))*(1-F293)</f>
        <v>-36.113323752908499</v>
      </c>
      <c r="J293">
        <f t="shared" si="17"/>
        <v>58.660082584654759</v>
      </c>
      <c r="L293" s="3">
        <f t="shared" si="18"/>
        <v>0.78719327099326242</v>
      </c>
    </row>
    <row r="294" spans="2:12" x14ac:dyDescent="0.75">
      <c r="B294">
        <f t="shared" si="19"/>
        <v>28.600000000000136</v>
      </c>
      <c r="C294">
        <v>10.83</v>
      </c>
      <c r="D294">
        <v>0.13500000000000001</v>
      </c>
      <c r="F294">
        <f>1-EXP(-D294*($J$1+$J$2*D294+$J$3*(B294-C294)+D294*(B294-C294)))</f>
        <v>0.89554323236294797</v>
      </c>
      <c r="G294">
        <f t="shared" si="16"/>
        <v>15.91380323908971</v>
      </c>
      <c r="H294">
        <f>F294*(($J$1/D294)+$J$2+($J$3*(B294-C294))/D294)</f>
        <v>95.088448729619842</v>
      </c>
      <c r="I294">
        <f>-F294*(1/(D294^2)) + (1/D294)*($J$1+$J$2*D294+$J$3*(B294-C294)+D294*(B294-C294))*(1-F294)</f>
        <v>-36.190796954329933</v>
      </c>
      <c r="J294">
        <f t="shared" si="17"/>
        <v>58.897651775289908</v>
      </c>
      <c r="L294" s="3">
        <f t="shared" si="18"/>
        <v>0.78728119596082047</v>
      </c>
    </row>
    <row r="295" spans="2:12" x14ac:dyDescent="0.75">
      <c r="B295">
        <f t="shared" si="19"/>
        <v>28.700000000000138</v>
      </c>
      <c r="C295">
        <v>10.85</v>
      </c>
      <c r="D295">
        <v>0.13400000000000001</v>
      </c>
      <c r="F295">
        <f>1-EXP(-D295*($J$1+$J$2*D295+$J$3*(B295-C295)+D295*(B295-C295)))</f>
        <v>0.89453091476965918</v>
      </c>
      <c r="G295">
        <f t="shared" si="16"/>
        <v>15.967376828638539</v>
      </c>
      <c r="H295">
        <f>F295*(($J$1/D295)+$J$2+($J$3*(B295-C295))/D295)</f>
        <v>96.089976816250143</v>
      </c>
      <c r="I295">
        <f>-F295*(1/(D295^2)) + (1/D295)*($J$1+$J$2*D295+$J$3*(B295-C295)+D295*(B295-C295))*(1-F295)</f>
        <v>-36.605889775967029</v>
      </c>
      <c r="J295">
        <f t="shared" si="17"/>
        <v>59.484087040283114</v>
      </c>
      <c r="L295" s="3">
        <f t="shared" si="18"/>
        <v>0.78837551970657693</v>
      </c>
    </row>
    <row r="296" spans="2:12" x14ac:dyDescent="0.75">
      <c r="B296">
        <f t="shared" si="19"/>
        <v>28.800000000000139</v>
      </c>
      <c r="C296">
        <v>10.89</v>
      </c>
      <c r="D296">
        <v>0.13400000000000001</v>
      </c>
      <c r="F296">
        <f>1-EXP(-D296*($J$1+$J$2*D296+$J$3*(B296-C296)+D296*(B296-C296)))</f>
        <v>0.89527786396453179</v>
      </c>
      <c r="G296">
        <f t="shared" si="16"/>
        <v>16.034426543604887</v>
      </c>
      <c r="H296">
        <f>F296*(($J$1/D296)+$J$2+($J$3*(B296-C296))/D296)</f>
        <v>96.470866666841488</v>
      </c>
      <c r="I296">
        <f>-F296*(1/(D296^2)) + (1/D296)*($J$1+$J$2*D296+$J$3*(B296-C296)+D296*(B296-C296))*(1-F296)</f>
        <v>-36.699607309606293</v>
      </c>
      <c r="J296">
        <f t="shared" si="17"/>
        <v>59.771259357235195</v>
      </c>
      <c r="L296" s="3">
        <f t="shared" si="18"/>
        <v>0.78847989628932058</v>
      </c>
    </row>
    <row r="297" spans="2:12" x14ac:dyDescent="0.75">
      <c r="B297">
        <f t="shared" si="19"/>
        <v>28.900000000000141</v>
      </c>
      <c r="C297">
        <v>10.92</v>
      </c>
      <c r="D297">
        <v>0.13300000000000001</v>
      </c>
      <c r="F297">
        <f>1-EXP(-D297*($J$1+$J$2*D297+$J$3*(B297-C297)+D297*(B297-C297)))</f>
        <v>0.89411881078905509</v>
      </c>
      <c r="G297">
        <f t="shared" si="16"/>
        <v>16.076256217987336</v>
      </c>
      <c r="H297">
        <f>F297*(($J$1/D297)+$J$2+($J$3*(B297-C297))/D297)</f>
        <v>97.422983942641366</v>
      </c>
      <c r="I297">
        <f>-F297*(1/(D297^2)) + (1/D297)*($J$1+$J$2*D297+$J$3*(B297-C297)+D297*(B297-C297))*(1-F297)</f>
        <v>-37.106065916128657</v>
      </c>
      <c r="J297">
        <f t="shared" si="17"/>
        <v>60.31691802651271</v>
      </c>
      <c r="L297" s="3">
        <f t="shared" si="18"/>
        <v>0.78955899690024001</v>
      </c>
    </row>
    <row r="298" spans="2:12" x14ac:dyDescent="0.75">
      <c r="B298">
        <f t="shared" si="19"/>
        <v>29.000000000000142</v>
      </c>
      <c r="C298">
        <v>10.96</v>
      </c>
      <c r="D298">
        <v>0.13300000000000001</v>
      </c>
      <c r="F298">
        <f>1-EXP(-D298*($J$1+$J$2*D298+$J$3*(B298-C298)+D298*(B298-C298)))</f>
        <v>0.89486226326230134</v>
      </c>
      <c r="G298">
        <f t="shared" si="16"/>
        <v>16.143315229252043</v>
      </c>
      <c r="H298">
        <f>F298*(($J$1/D298)+$J$2+($J$3*(B298-C298))/D298)</f>
        <v>97.8067633026468</v>
      </c>
      <c r="I298">
        <f>-F298*(1/(D298^2)) + (1/D298)*($J$1+$J$2*D298+$J$3*(B298-C298)+D298*(B298-C298))*(1-F298)</f>
        <v>-37.200587507097268</v>
      </c>
      <c r="J298">
        <f t="shared" si="17"/>
        <v>60.606175795549532</v>
      </c>
      <c r="L298" s="3">
        <f t="shared" si="18"/>
        <v>0.78966225034592952</v>
      </c>
    </row>
    <row r="299" spans="2:12" x14ac:dyDescent="0.75">
      <c r="B299">
        <f t="shared" si="19"/>
        <v>29.100000000000144</v>
      </c>
      <c r="C299">
        <v>10.99</v>
      </c>
      <c r="D299">
        <v>0.13200000000000001</v>
      </c>
      <c r="F299">
        <f>1-EXP(-D299*($J$1+$J$2*D299+$J$3*(B299-C299)+D299*(B299-C299)))</f>
        <v>0.89368084794357805</v>
      </c>
      <c r="G299">
        <f t="shared" si="16"/>
        <v>16.184560156258325</v>
      </c>
      <c r="H299">
        <f>F299*(($J$1/D299)+$J$2+($J$3*(B299-C299))/D299)</f>
        <v>98.772721657073859</v>
      </c>
      <c r="I299">
        <f>-F299*(1/(D299^2)) + (1/D299)*($J$1+$J$2*D299+$J$3*(B299-C299)+D299*(B299-C299))*(1-F299)</f>
        <v>-37.614020102104078</v>
      </c>
      <c r="J299">
        <f t="shared" si="17"/>
        <v>61.158701554969781</v>
      </c>
      <c r="L299" s="3">
        <f t="shared" si="18"/>
        <v>0.79074375972549948</v>
      </c>
    </row>
    <row r="300" spans="2:12" x14ac:dyDescent="0.75">
      <c r="B300">
        <f t="shared" si="19"/>
        <v>29.200000000000145</v>
      </c>
      <c r="C300">
        <v>11.03</v>
      </c>
      <c r="D300">
        <v>0.13200000000000001</v>
      </c>
      <c r="F300">
        <f>1-EXP(-D300*($J$1+$J$2*D300+$J$3*(B300-C300)+D300*(B300-C300)))</f>
        <v>0.89442094603620304</v>
      </c>
      <c r="G300">
        <f t="shared" si="16"/>
        <v>16.251628589477939</v>
      </c>
      <c r="H300">
        <f>F300*(($J$1/D300)+$J$2+($J$3*(B300-C300))/D300)</f>
        <v>99.159436109003735</v>
      </c>
      <c r="I300">
        <f>-F300*(1/(D300^2)) + (1/D300)*($J$1+$J$2*D300+$J$3*(B300-C300)+D300*(B300-C300))*(1-F300)</f>
        <v>-37.709369682193014</v>
      </c>
      <c r="J300">
        <f t="shared" si="17"/>
        <v>61.450066426810722</v>
      </c>
      <c r="L300" s="3">
        <f t="shared" si="18"/>
        <v>0.79084589356678647</v>
      </c>
    </row>
    <row r="301" spans="2:12" x14ac:dyDescent="0.75">
      <c r="B301">
        <f t="shared" si="19"/>
        <v>29.300000000000146</v>
      </c>
      <c r="C301">
        <v>11.05</v>
      </c>
      <c r="D301">
        <v>0.13100000000000001</v>
      </c>
      <c r="F301">
        <f>1-EXP(-D301*($J$1+$J$2*D301+$J$3*(B301-C301)+D301*(B301-C301)))</f>
        <v>0.89333997079545724</v>
      </c>
      <c r="G301">
        <f t="shared" si="16"/>
        <v>16.303454467017225</v>
      </c>
      <c r="H301">
        <f>F301*(($J$1/D301)+$J$2+($J$3*(B301-C301))/D301)</f>
        <v>100.20444425852737</v>
      </c>
      <c r="I301">
        <f>-F301*(1/(D301^2)) + (1/D301)*($J$1+$J$2*D301+$J$3*(B301-C301)+D301*(B301-C301))*(1-F301)</f>
        <v>-38.145983382350167</v>
      </c>
      <c r="J301">
        <f t="shared" si="17"/>
        <v>62.058460876177207</v>
      </c>
      <c r="L301" s="3">
        <f t="shared" si="18"/>
        <v>0.79194670784124543</v>
      </c>
    </row>
    <row r="302" spans="2:12" x14ac:dyDescent="0.75">
      <c r="B302">
        <f t="shared" si="19"/>
        <v>29.400000000000148</v>
      </c>
      <c r="C302">
        <v>11.1</v>
      </c>
      <c r="D302">
        <v>0.13100000000000001</v>
      </c>
      <c r="F302">
        <f>1-EXP(-D302*($J$1+$J$2*D302+$J$3*(B302-C302)+D302*(B302-C302)))</f>
        <v>0.89395368538859221</v>
      </c>
      <c r="G302">
        <f t="shared" si="16"/>
        <v>16.359352442611367</v>
      </c>
      <c r="H302">
        <f>F302*(($J$1/D302)+$J$2+($J$3*(B302-C302))/D302)</f>
        <v>100.52918636630849</v>
      </c>
      <c r="I302">
        <f>-F302*(1/(D302^2)) + (1/D302)*($J$1+$J$2*D302+$J$3*(B302-C302)+D302*(B302-C302))*(1-F302)</f>
        <v>-38.226126093377367</v>
      </c>
      <c r="J302">
        <f t="shared" si="17"/>
        <v>62.303060272931127</v>
      </c>
      <c r="L302" s="3">
        <f t="shared" si="18"/>
        <v>0.79203088390169585</v>
      </c>
    </row>
    <row r="303" spans="2:12" x14ac:dyDescent="0.75">
      <c r="B303">
        <f t="shared" si="19"/>
        <v>29.500000000000149</v>
      </c>
      <c r="C303">
        <v>11.12</v>
      </c>
      <c r="D303">
        <v>0.13</v>
      </c>
      <c r="F303">
        <f>1-EXP(-D303*($J$1+$J$2*D303+$J$3*(B303-C303)+D303*(B303-C303)))</f>
        <v>0.89284908310682654</v>
      </c>
      <c r="G303">
        <f t="shared" si="16"/>
        <v>16.410566147503609</v>
      </c>
      <c r="H303">
        <f>F303*(($J$1/D303)+$J$2+($J$3*(B303-C303))/D303)</f>
        <v>101.58905548288251</v>
      </c>
      <c r="I303">
        <f>-F303*(1/(D303^2)) + (1/D303)*($J$1+$J$2*D303+$J$3*(B303-C303)+D303*(B303-C303))*(1-F303)</f>
        <v>-38.670159092327481</v>
      </c>
      <c r="J303">
        <f t="shared" si="17"/>
        <v>62.918896390555034</v>
      </c>
      <c r="L303" s="3">
        <f t="shared" si="18"/>
        <v>0.7931340308825291</v>
      </c>
    </row>
    <row r="304" spans="2:12" x14ac:dyDescent="0.75">
      <c r="B304">
        <f t="shared" si="19"/>
        <v>29.600000000000151</v>
      </c>
      <c r="C304">
        <v>11.17</v>
      </c>
      <c r="D304">
        <v>0.13</v>
      </c>
      <c r="F304">
        <f>1-EXP(-D304*($J$1+$J$2*D304+$J$3*(B304-C304)+D304*(B304-C304)))</f>
        <v>0.89346023678560416</v>
      </c>
      <c r="G304">
        <f t="shared" si="16"/>
        <v>16.466472163958819</v>
      </c>
      <c r="H304">
        <f>F304*(($J$1/D304)+$J$2+($J$3*(B304-C304))/D304)</f>
        <v>101.91632193302941</v>
      </c>
      <c r="I304">
        <f>-F304*(1/(D304^2)) + (1/D304)*($J$1+$J$2*D304+$J$3*(B304-C304)+D304*(B304-C304))*(1-F304)</f>
        <v>-38.751032960040718</v>
      </c>
      <c r="J304">
        <f t="shared" si="17"/>
        <v>63.165288972988691</v>
      </c>
      <c r="L304" s="3">
        <f t="shared" si="18"/>
        <v>0.79321728002925307</v>
      </c>
    </row>
    <row r="305" spans="2:12" x14ac:dyDescent="0.75">
      <c r="B305">
        <f t="shared" si="19"/>
        <v>29.700000000000152</v>
      </c>
      <c r="C305">
        <v>11.19</v>
      </c>
      <c r="D305">
        <v>0.129</v>
      </c>
      <c r="F305">
        <f>1-EXP(-D305*($J$1+$J$2*D305+$J$3*(B305-C305)+D305*(B305-C305)))</f>
        <v>0.89233163386321879</v>
      </c>
      <c r="G305">
        <f t="shared" si="16"/>
        <v>16.517058542808318</v>
      </c>
      <c r="H305">
        <f>F305*(($J$1/D305)+$J$2+($J$3*(B305-C305))/D305)</f>
        <v>102.99132620161143</v>
      </c>
      <c r="I305">
        <f>-F305*(1/(D305^2)) + (1/D305)*($J$1+$J$2*D305+$J$3*(B305-C305)+D305*(B305-C305))*(1-F305)</f>
        <v>-39.202644335982839</v>
      </c>
      <c r="J305">
        <f t="shared" si="17"/>
        <v>63.78868186562859</v>
      </c>
      <c r="L305" s="3">
        <f t="shared" si="18"/>
        <v>0.79432281604276156</v>
      </c>
    </row>
    <row r="306" spans="2:12" x14ac:dyDescent="0.75">
      <c r="B306">
        <f t="shared" si="19"/>
        <v>29.800000000000153</v>
      </c>
      <c r="C306">
        <v>11.23</v>
      </c>
      <c r="D306">
        <v>0.129</v>
      </c>
      <c r="F306">
        <f>1-EXP(-D306*($J$1+$J$2*D306+$J$3*(B306-C306)+D306*(B306-C306)))</f>
        <v>0.89306166510042029</v>
      </c>
      <c r="G306">
        <f t="shared" si="16"/>
        <v>16.584155120914943</v>
      </c>
      <c r="H306">
        <f>F306*(($J$1/D306)+$J$2+($J$3*(B306-C306))/D306)</f>
        <v>103.38711824439166</v>
      </c>
      <c r="I306">
        <f>-F306*(1/(D306^2)) + (1/D306)*($J$1+$J$2*D306+$J$3*(B306-C306)+D306*(B306-C306))*(1-F306)</f>
        <v>-39.300565180726522</v>
      </c>
      <c r="J306">
        <f t="shared" si="17"/>
        <v>64.086553063665136</v>
      </c>
      <c r="L306" s="3">
        <f t="shared" si="18"/>
        <v>0.79442159993229189</v>
      </c>
    </row>
    <row r="307" spans="2:12" x14ac:dyDescent="0.75">
      <c r="B307">
        <f t="shared" si="19"/>
        <v>29.900000000000155</v>
      </c>
      <c r="C307">
        <v>11.25</v>
      </c>
      <c r="D307">
        <v>0.128</v>
      </c>
      <c r="F307">
        <f>1-EXP(-D307*($J$1+$J$2*D307+$J$3*(B307-C307)+D307*(B307-C307)))</f>
        <v>0.89190889039057186</v>
      </c>
      <c r="G307">
        <f t="shared" si="16"/>
        <v>16.634100805784303</v>
      </c>
      <c r="H307">
        <f>F307*(($J$1/D307)+$J$2+($J$3*(B307-C307))/D307)</f>
        <v>104.47806805958827</v>
      </c>
      <c r="I307">
        <f>-F307*(1/(D307^2)) + (1/D307)*($J$1+$J$2*D307+$J$3*(B307-C307)+D307*(B307-C307))*(1-F307)</f>
        <v>-39.760123601124192</v>
      </c>
      <c r="J307">
        <f t="shared" si="17"/>
        <v>64.717944458464075</v>
      </c>
      <c r="L307" s="3">
        <f t="shared" si="18"/>
        <v>0.79552940861224475</v>
      </c>
    </row>
    <row r="308" spans="2:12" x14ac:dyDescent="0.75">
      <c r="B308">
        <f t="shared" si="19"/>
        <v>30.000000000000156</v>
      </c>
      <c r="C308">
        <v>11.3</v>
      </c>
      <c r="D308">
        <v>0.128</v>
      </c>
      <c r="F308">
        <f>1-EXP(-D308*($J$1+$J$2*D308+$J$3*(B308-C308)+D308*(B308-C308)))</f>
        <v>0.89251457263513367</v>
      </c>
      <c r="G308">
        <f t="shared" si="16"/>
        <v>16.690022508277139</v>
      </c>
      <c r="H308">
        <f>F308*(($J$1/D308)+$J$2+($J$3*(B308-C308))/D308)</f>
        <v>104.81049646178009</v>
      </c>
      <c r="I308">
        <f>-F308*(1/(D308^2)) + (1/D308)*($J$1+$J$2*D308+$J$3*(B308-C308)+D308*(B308-C308))*(1-F308)</f>
        <v>-39.842472866243526</v>
      </c>
      <c r="J308">
        <f t="shared" si="17"/>
        <v>64.968023595536565</v>
      </c>
      <c r="L308" s="3">
        <f t="shared" si="18"/>
        <v>0.7956108025526506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Profit_max</vt:lpstr>
      <vt:lpstr>Chart - profit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Selove, Matthew</dc:creator>
  <cp:lastModifiedBy>Selove, Matthew</cp:lastModifiedBy>
  <dcterms:created xsi:type="dcterms:W3CDTF">2015-06-05T18:17:20Z</dcterms:created>
  <dcterms:modified xsi:type="dcterms:W3CDTF">2025-12-16T17:36:08Z</dcterms:modified>
</cp:coreProperties>
</file>