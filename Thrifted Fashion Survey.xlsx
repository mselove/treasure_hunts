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chartsheets/sheet3.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4.xml" ContentType="application/vnd.openxmlformats-officedocument.spreadsheetml.chartsheet+xml"/>
  <Override PartName="/xl/worksheets/sheet4.xml" ContentType="application/vnd.openxmlformats-officedocument.spreadsheetml.worksheet+xml"/>
  <Override PartName="/xl/chartsheets/sheet5.xml" ContentType="application/vnd.openxmlformats-officedocument.spreadsheetml.chartsheet+xml"/>
  <Override PartName="/xl/worksheets/sheet5.xml" ContentType="application/vnd.openxmlformats-officedocument.spreadsheetml.work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selove\Dropbox\Authentic PreLoved Fashion\Survey questions\Data to upload\"/>
    </mc:Choice>
  </mc:AlternateContent>
  <xr:revisionPtr revIDLastSave="0" documentId="13_ncr:1_{98904AEA-157B-4821-B316-DBF4F06E721B}" xr6:coauthVersionLast="47" xr6:coauthVersionMax="47" xr10:uidLastSave="{00000000-0000-0000-0000-000000000000}"/>
  <bookViews>
    <workbookView xWindow="-90" yWindow="-90" windowWidth="19380" windowHeight="10260" firstSheet="9" activeTab="12" xr2:uid="{57ECA802-09BB-4A07-A5A5-639B7C100B39}"/>
  </bookViews>
  <sheets>
    <sheet name="Figure 12" sheetId="23" r:id="rId1"/>
    <sheet name="Figure 11" sheetId="22" r:id="rId2"/>
    <sheet name="Data - Figures 11, 12" sheetId="21" r:id="rId3"/>
    <sheet name="Figure 10" sheetId="24" r:id="rId4"/>
    <sheet name="Data - Figure 10" sheetId="20" r:id="rId5"/>
    <sheet name="Data on gender" sheetId="17" r:id="rId6"/>
    <sheet name="Figure 9" sheetId="16" r:id="rId7"/>
    <sheet name="Data - Figure 9" sheetId="15" r:id="rId8"/>
    <sheet name="Figure 8" sheetId="14" r:id="rId9"/>
    <sheet name="Data - Figure 8" sheetId="13" r:id="rId10"/>
    <sheet name="Figure 6" sheetId="11" r:id="rId11"/>
    <sheet name="Figure 7" sheetId="12" r:id="rId12"/>
    <sheet name="Data - Figures 6, 7 and Table 3" sheetId="7" r:id="rId13"/>
    <sheet name="Raw Data" sheetId="1"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8" i="20" l="1"/>
  <c r="T18" i="20"/>
  <c r="V17" i="20"/>
  <c r="V16" i="20"/>
  <c r="T16" i="20"/>
  <c r="U18" i="20"/>
  <c r="U17" i="20"/>
  <c r="U16" i="20"/>
  <c r="S16" i="20"/>
  <c r="T17" i="20"/>
  <c r="S18" i="20"/>
  <c r="S17" i="20"/>
  <c r="L11" i="21"/>
  <c r="L10" i="21"/>
  <c r="L9" i="21"/>
  <c r="L8" i="21"/>
  <c r="L7" i="21"/>
  <c r="L6" i="21"/>
  <c r="L5" i="21"/>
  <c r="K11" i="21"/>
  <c r="K10" i="21"/>
  <c r="K9" i="21"/>
  <c r="K8" i="21"/>
  <c r="K7" i="21"/>
  <c r="K6" i="21"/>
  <c r="K5" i="21"/>
  <c r="R12" i="20"/>
  <c r="N10" i="20"/>
  <c r="N9" i="20"/>
  <c r="N8" i="20"/>
  <c r="P11" i="20"/>
  <c r="P10" i="20"/>
  <c r="P9" i="20"/>
  <c r="I10" i="20"/>
  <c r="I9" i="20"/>
  <c r="I8" i="20"/>
  <c r="K11" i="20"/>
  <c r="K10" i="20"/>
  <c r="K9" i="20"/>
  <c r="E8" i="20"/>
  <c r="E11" i="20"/>
  <c r="E10" i="20"/>
  <c r="Q27" i="17"/>
  <c r="Q26" i="17"/>
  <c r="Q25" i="17"/>
  <c r="Q24" i="17"/>
  <c r="Q23" i="17"/>
  <c r="Q22" i="17"/>
  <c r="Q21" i="17"/>
  <c r="Q20" i="17"/>
  <c r="Q19" i="17"/>
  <c r="Q18" i="17"/>
  <c r="Q17" i="17"/>
  <c r="Q16" i="17"/>
  <c r="Q15" i="17"/>
  <c r="Q14" i="17"/>
  <c r="Q13" i="17"/>
  <c r="Q12" i="17"/>
  <c r="Q11" i="17"/>
  <c r="Q10" i="17"/>
  <c r="I49" i="17"/>
  <c r="I48" i="17"/>
  <c r="I47" i="17"/>
  <c r="I46" i="17"/>
  <c r="I45" i="17"/>
  <c r="I44" i="17"/>
  <c r="I43" i="17"/>
  <c r="I42" i="17"/>
  <c r="I41" i="17"/>
  <c r="I40" i="17"/>
  <c r="I39" i="17"/>
  <c r="I38" i="17"/>
  <c r="I37" i="17"/>
  <c r="I36" i="17"/>
  <c r="I35" i="17"/>
  <c r="I34" i="17"/>
  <c r="I33" i="17"/>
  <c r="I32" i="17"/>
  <c r="I31" i="17"/>
  <c r="I30" i="17"/>
  <c r="I29" i="17"/>
  <c r="I28" i="17"/>
  <c r="I27" i="17"/>
  <c r="I26" i="17"/>
  <c r="I25" i="17"/>
  <c r="I24" i="17"/>
  <c r="I23" i="17"/>
  <c r="I22" i="17"/>
  <c r="I21" i="17"/>
  <c r="I20" i="17"/>
  <c r="I19" i="17"/>
  <c r="I18" i="17"/>
  <c r="I17" i="17"/>
  <c r="I16" i="17"/>
  <c r="I15" i="17"/>
  <c r="I14" i="17"/>
  <c r="I13" i="17"/>
  <c r="I12" i="17"/>
  <c r="I11" i="17"/>
  <c r="I10" i="17"/>
  <c r="E6" i="17"/>
  <c r="M8" i="17"/>
  <c r="E8" i="17"/>
  <c r="G6" i="17"/>
  <c r="F6" i="17"/>
  <c r="O8" i="17"/>
  <c r="N8" i="17"/>
  <c r="G8" i="17"/>
  <c r="F8" i="17"/>
  <c r="N18" i="15"/>
  <c r="N19" i="15" s="1"/>
  <c r="N20" i="15" s="1"/>
  <c r="N21" i="15" s="1"/>
  <c r="N22" i="15" s="1"/>
  <c r="N23" i="15" s="1"/>
  <c r="N24" i="15" s="1"/>
  <c r="N25" i="15" s="1"/>
  <c r="N26" i="15" s="1"/>
  <c r="N27" i="15" s="1"/>
  <c r="N28" i="15" s="1"/>
  <c r="N29" i="15" s="1"/>
  <c r="N30" i="15" s="1"/>
  <c r="N31" i="15" s="1"/>
  <c r="N32" i="15" s="1"/>
  <c r="M18" i="15"/>
  <c r="M19" i="15" s="1"/>
  <c r="M20" i="15" s="1"/>
  <c r="M21" i="15" s="1"/>
  <c r="M22" i="15" s="1"/>
  <c r="M23" i="15" s="1"/>
  <c r="M24" i="15" s="1"/>
  <c r="M25" i="15" s="1"/>
  <c r="O17" i="15"/>
  <c r="B6" i="15"/>
  <c r="F12" i="15"/>
  <c r="F11" i="15"/>
  <c r="F10" i="15"/>
  <c r="F9" i="15"/>
  <c r="C12" i="15"/>
  <c r="C11" i="15"/>
  <c r="C10" i="15"/>
  <c r="C9" i="15"/>
  <c r="J12" i="15"/>
  <c r="J11" i="15"/>
  <c r="J10" i="15"/>
  <c r="J9" i="15"/>
  <c r="E17" i="13"/>
  <c r="E16" i="13"/>
  <c r="E15" i="13"/>
  <c r="E14" i="13"/>
  <c r="E13" i="13"/>
  <c r="E12" i="13"/>
  <c r="E11" i="13"/>
  <c r="C17" i="13"/>
  <c r="C16" i="13"/>
  <c r="C15" i="13"/>
  <c r="C14" i="13"/>
  <c r="C13" i="13"/>
  <c r="C12" i="13"/>
  <c r="C11" i="13"/>
  <c r="E8" i="13"/>
  <c r="C8" i="13"/>
  <c r="B4" i="13"/>
  <c r="E7" i="13"/>
  <c r="C7" i="13"/>
  <c r="I12" i="7"/>
  <c r="I11" i="7"/>
  <c r="I10" i="7"/>
  <c r="I9" i="7"/>
  <c r="E15" i="7"/>
  <c r="D15" i="7"/>
  <c r="E14" i="7"/>
  <c r="D14" i="7"/>
  <c r="E13" i="7"/>
  <c r="D13" i="7"/>
  <c r="E12" i="7"/>
  <c r="D12" i="7"/>
  <c r="E11" i="7"/>
  <c r="D11" i="7"/>
  <c r="E10" i="7"/>
  <c r="D10" i="7"/>
  <c r="E9" i="7"/>
  <c r="D9" i="7"/>
  <c r="E6" i="7"/>
  <c r="E5" i="7"/>
  <c r="D6" i="7"/>
  <c r="D5" i="7"/>
  <c r="I6" i="17" l="1"/>
  <c r="Q8" i="17"/>
  <c r="I8" i="17"/>
  <c r="M26" i="15"/>
  <c r="O25" i="15"/>
  <c r="C18" i="13"/>
  <c r="A17" i="13" s="1"/>
  <c r="E18" i="13"/>
  <c r="O19" i="15"/>
  <c r="O18" i="15"/>
  <c r="I13" i="7"/>
  <c r="J10" i="7" s="1"/>
  <c r="D16" i="7"/>
  <c r="D8" i="7" s="1"/>
  <c r="E16" i="7"/>
  <c r="E8" i="7" s="1"/>
  <c r="M27" i="15" l="1"/>
  <c r="O26" i="15"/>
  <c r="J11" i="7"/>
  <c r="J12" i="7"/>
  <c r="J9" i="7"/>
  <c r="O20" i="15"/>
  <c r="M28" i="15" l="1"/>
  <c r="O27" i="15"/>
  <c r="O21" i="15"/>
  <c r="M29" i="15" l="1"/>
  <c r="O28" i="15"/>
  <c r="O22" i="15"/>
  <c r="M30" i="15" l="1"/>
  <c r="O29" i="15"/>
  <c r="O24" i="15"/>
  <c r="O23" i="15"/>
  <c r="M31" i="15" l="1"/>
  <c r="O30" i="15"/>
  <c r="M32" i="15" l="1"/>
  <c r="O32" i="15" s="1"/>
  <c r="O31" i="15"/>
  <c r="O12" i="15" l="1"/>
</calcChain>
</file>

<file path=xl/sharedStrings.xml><?xml version="1.0" encoding="utf-8"?>
<sst xmlns="http://schemas.openxmlformats.org/spreadsheetml/2006/main" count="901" uniqueCount="176">
  <si>
    <t>DV shopping _1</t>
  </si>
  <si>
    <t>DV shopping _5</t>
  </si>
  <si>
    <t>2min 5dollars</t>
  </si>
  <si>
    <t>2nofind 5dollars</t>
  </si>
  <si>
    <t>2neither 5dollars</t>
  </si>
  <si>
    <t>30min 5dollars</t>
  </si>
  <si>
    <t>30nofind 5dollars</t>
  </si>
  <si>
    <t>30neither 5dollars</t>
  </si>
  <si>
    <t>2min 20dollars</t>
  </si>
  <si>
    <t>2nofind 20dollars</t>
  </si>
  <si>
    <t>2neither 20dollars</t>
  </si>
  <si>
    <t>30min 20dollars</t>
  </si>
  <si>
    <t>30nofind 20dollars</t>
  </si>
  <si>
    <t>30neither 20dollars</t>
  </si>
  <si>
    <t>Instructions</t>
  </si>
  <si>
    <t>Instructions_8_TEXT</t>
  </si>
  <si>
    <t>cord2min5dollars</t>
  </si>
  <si>
    <t>cord2nofind5dollars</t>
  </si>
  <si>
    <t>cord2neither5dollars</t>
  </si>
  <si>
    <t>cord30min5dollars</t>
  </si>
  <si>
    <t>cord30nofind5dollars</t>
  </si>
  <si>
    <t>cord30neither5dollar</t>
  </si>
  <si>
    <t>cord2min20dollars</t>
  </si>
  <si>
    <t>cord2nofind20dollars</t>
  </si>
  <si>
    <t>cord2neither20dollar</t>
  </si>
  <si>
    <t>cord30min20dollars</t>
  </si>
  <si>
    <t>cord30nofind20dollar</t>
  </si>
  <si>
    <t>cord30neither20dolla</t>
  </si>
  <si>
    <t xml:space="preserve">Thrifting </t>
  </si>
  <si>
    <t>Q45_1</t>
  </si>
  <si>
    <t>Gender</t>
  </si>
  <si>
    <t>Age</t>
  </si>
  <si>
    <t>On a scale of 1-7, please indicate how much you agree with the following statements: - Shopping is truly a joy</t>
  </si>
  <si>
    <t>On a scale of 1-7, please indicate how much you agree with the following statements: - I go to thrift shops because I love hunting around</t>
  </si>
  <si>
    <t>Imagine this weekend you are going to a party. Before the party, you and a friend go shopping at your favorite clothing store, which is selling vintage music T-shirts for $5 each. After 5 minutes hunting through unique clothing, you find a T-shirt with the name of your favorite singer, and your friend also finds a shirt to buy. You each purchase a shirt and go home to get ready for the party.
On a scale of 1-7, how enjoyable would this shopping experience be?</t>
  </si>
  <si>
    <t>Imagine this weekend you are going to a party. Before the party, you and a friend go shopping at your favorite clothing store, which is selling vintage music T-shirts for $5 each. After 5 minutes hunting through unique clothing, you and your friend do not find anything to buy. You both leave the store and go home to get ready for the party.
On a scale of 1-7, how enjoyable would this shopping experience be?</t>
  </si>
  <si>
    <t>Imagine this weekend you are going to a party. Before the party, you and a friend go shopping at your favorite clothing store, which is selling vintage music T-shirts for $5 each. After 30 minutes hunting through unique clothing, you find a T-shirt with the name of your favorite singer, and your friend also finds a shirt to buy. You each purchase a shirt and go home to get ready for the party.
On a scale of 1-7, how enjoyable would this shopping experience be?</t>
  </si>
  <si>
    <t>Imagine this weekend you are going to a party. Before the party, you and a friend go shopping at your favorite clothing store, which is selling vintage music T-shirts for $5 each. After 30 minutes hunting through unique clothing, you do not find a T-shirt to buy, but your friend finds a shirt with the name of her favorite singer. She purchases the shirt and you both go home to get ready for the party.
On a scale of 1-7, how enjoyable would this shopping experience be?</t>
  </si>
  <si>
    <t>Imagine this weekend you are going to a party. Before the party, you and a friend go shopping at your favorite clothing store, which is selling vintage music T-shirts for $5 each. After 30 minutes hunting through unique clothing, you and your friend do not find anything to buy. You both leave the store and go home to get ready for the party.
On a scale of 1-7, how enjoyable would this shopping experience be?</t>
  </si>
  <si>
    <t>Imagine this weekend you are going to a party. Before the party, you and a friend go shopping at your favorite clothing store, which is selling vintage music T-shirts for $20 each. After 5 minutes hunting through unique clothing, you find a T-shirt with the name of your favorite singer, and your friend also finds a shirt to buy. You each purchase a shirt and go home to get ready for the party.
On a scale of 1-7, how enjoyable would this shopping experience be?</t>
  </si>
  <si>
    <t>Imagine this weekend you are going to a party. Before the party, you and a friend go shopping at your favorite clothing store, which is selling vintage music T-shirts for $20 each. After 5 minutes hunting through unique clothing, you do not find a T-shirt to buy, but your friend finds a shirt with the name of her favorite singer. She purchases the shirt and you both go home to get ready for the party.
On a scale of 1-7, how enjoyable would this shopping experience be?</t>
  </si>
  <si>
    <t>Imagine this weekend you are going to a party. Before the party, you and a friend go shopping at your favorite clothing store, which is selling vintage music T-shirts for $20 each. After 5 minutes hunting through unique clothing, you and your friend do not find anything to buy. You both leave the store and go home to get ready for the party.
On a scale of 1-7, how enjoyable would this shopping experience be?</t>
  </si>
  <si>
    <t>Imagine this weekend you are going to a party. Before the party, you and a friend go shopping at your favorite clothing store, which is selling vintage music T-shirts for $20 each. After 30 minutes hunting through unique clothing, you find a T-shirt with the name of your favorite singer, and your friend also finds a shirt to buy. You each purchase a shirt and go home to get ready for the party.
On a scale of 1-7, how enjoyable would this shopping experience be?</t>
  </si>
  <si>
    <t>Imagine this weekend you are going to a party. Before the party, you and a friend go shopping at your favorite clothing store, which is selling vintage music T-shirts for $20 each. After 30 minutes hunting through unique clothing, you do not find a T-shirt to buy, but your friend finds a shirt with the name of her favorite singer. She purchases the shirt and you both go home to get ready for the party.
On a scale of 1-7, how enjoyable would this shopping experience be?</t>
  </si>
  <si>
    <t>Imagine this weekend you are going to a party. Before the party, you and a friend go shopping at your favorite clothing store, which is selling vintage music T-shirts for $20 each. After 30 minutes hunting through unique clothing, you and your friend do not find anything to buy. You both leave the store and you both go home to get ready for the party.
On a scale of 1-7, how enjoyable would this shopping experience be?</t>
  </si>
  <si>
    <t>In order to help our research on consumer decisions, we are interested in knowing whether you actually take the time to read directions. If not, then the quality of our data will be negatively impacted. So in order to demonstrate that you have read the instructions, please ignore the stores and shopping websites listed below. Instead, please select "Other" and enter "I read the instructions" in the text box. Thank you very much. - Selected Choice</t>
  </si>
  <si>
    <t>In order to help our research on consumer decisions, we are interested in knowing whether you actually take the time to read directions. If not, then the quality of our data will be negatively impacted. So in order to demonstrate that you have read the instructions, please ignore the stores and shopping websites listed below. Instead, please select "Other" and enter "I read the instructions" in the text box. Thank you very much. - Other - Text</t>
  </si>
  <si>
    <t>Imagine you are preparing a presentation for work when your computer power cord stops working. To keep your computer running, you and a friend go to an electronics store that sells power cords for $5 each. After 5 minutes hunting through power cords, you find one that is compatible with your computer, and your friend also finds an external storage drive he wants for his computer. You purchase the power cord and go home to get ready for your presentation.
On a scale of 1-7, how enjoyable would this shopping experience be?</t>
  </si>
  <si>
    <t>Imagine you are preparing a presentation for work when your computer power cord stops working. To keep your computer running, you and a friend go to an electronics store that sells power cords for $5 each. After 5 minutes hunting through power cords, you learn that the store does not sell cords compatible with your computer, but your friend finds an external storage drive he wants for his computer. He purchases the storage drive, and you both go home.
On a scale of 1-7, how enjoyable would this shopping experience be?</t>
  </si>
  <si>
    <t>Imagine you are preparing a presentation for work when your computer power cord stops working. To keep your computer running, you and a friend go to an electronics store that sells power cords for $5 each. After 5 minutes hunting through power cords, you learn that the store does not sell cords compatible with your computer, and your friend also does not find anything to buy. You both leave the store and go home.
On a scale of 1-7, how enjoyable would this shopping experience be?</t>
  </si>
  <si>
    <t>Imagine you are preparing a presentation for work when your computer power cord stops working. To keep your computer running, you and a friend go to an electronics store that sells power cords for $5 each. After 30 minutes hunting through power cords, you find one that is compatible with your computer, and your friend also finds an external storage drive he wants for his computer. You purchase the power cord and go home to get ready for your presentation.
On a scale of 1-7, how enjoyable would this shopping experience be?</t>
  </si>
  <si>
    <t>Imagine you are preparing a presentation for work when your computer power cord stops working. To keep your computer running, you and a friend go to an electronics store that sells power cords for $5 each. After 30 minutes hunting through power cords, you learn that the store does not sell cords compatible with your computer, but your friend finds an external storage drive he wants for his computer. He purchases the storage drive, and you both go home.
On a scale of 1-7, how enjoyable would this shopping experience be?</t>
  </si>
  <si>
    <t>Imagine you are preparing a presentation for work when your computer power cord stops working. To keep your computer running, you and a friend go to an electronics store that sells power cords for $5 each. After 30 minutes hunting through power cords,  you learn that the store does not sell cords compatible with your computer, and your friend also does not find anything to buy. You both leave the store and go home.
On a scale of 1-7, how enjoyable would this shopping experience be?</t>
  </si>
  <si>
    <t>Imagine you are preparing a presentation for work when your computer power cord stops working. To keep your computer running, you and a friend go to an electronics store that sells power cords for $20 each. After 5 minutes hunting through power cords, you find one that is compatible with your computer, and your friend also finds an external storage drive he wants for his computer. You purchase the power cord and go home to get ready for your presentation.
On a scale of 1-7, how enjoyable would this shopping experience be?</t>
  </si>
  <si>
    <t>Imagine you are preparing a presentation for work when your computer power cord stops working. To keep your computer running, you and a friend go to an electronics store that sells power cords for $20 each. After 5 minutes hunting through power cords, you learn that the store does not sell cords compatible with your computer, but your friend finds an external storage drive he wants for his computer. He purchases the storage drive, and you both go home.
On a scale of 1-7, how enjoyable would this shopping experience be?</t>
  </si>
  <si>
    <t>Imagine you are preparing a presentation for work when your computer power cord stops working. To keep your computer running, you and a friend go to an electronics store that sells power cords for $20 each. After 5 minutes hunting through power cords, you learn that the store does not sell cords compatible with your computer, and your friend also does not find anything to buy. You both leave the store and go home.
On a scale of 1-7, how enjoyable would this shopping experience be?</t>
  </si>
  <si>
    <t>Imagine you are preparing a presentation for work when your computer power cord stops working. To keep your computer running, you and a friend go to an electronics store that sells power cords for $20 each. After 30 minutes hunting through power cords, you find one that is compatible with your computer, and your friend also finds an external storage drive he wants for his computer. You purchase the power cord and go home to get ready for your presentation.
On a scale of 1-7, how enjoyable would this shopping experience be?</t>
  </si>
  <si>
    <t>Imagine you are preparing a presentation for work when your computer power cord stops working. To keep your computer running, you and a friend go to an electronics store that sells power cords for $20 each. After 30 minutes hunting through power cords, you learn that the store does not sell cords compatible with your computer, but your friend finds an external storage drive he wants for his computer. He purchases the storage drive, and you both go home.
On a scale of 1-7, how enjoyable would this shopping experience be?</t>
  </si>
  <si>
    <t>Imagine you are preparing a presentation for work when your computer power cord stops working. To keep your computer running, you and a friend go to an electronics store that sells power cords for $20 each. After 30 minutes hunting through power cords, you learn that the store does not sell cords compatible with your computer, and your friend also does not find anything to buy. You both leave the store and go home.
On a scale of 1-7, how enjoyable would this shopping experience be?</t>
  </si>
  <si>
    <t>How often do you shop in thrift stores?</t>
  </si>
  <si>
    <t>Imagine you go shopping at your favorite store. For a perfect shopping trip, how long would you like to look around before you find something to buy? (Please slide the bar to select the number of minutes.) - Number of minutes</t>
  </si>
  <si>
    <t>What is your gender?</t>
  </si>
  <si>
    <t>What is your age?</t>
  </si>
  <si>
    <t>{"ImportId":"QID2_1"}</t>
  </si>
  <si>
    <t>{"ImportId":"QID2_5"}</t>
  </si>
  <si>
    <t>{"ImportId":"QID3"}</t>
  </si>
  <si>
    <t>{"ImportId":"QID18"}</t>
  </si>
  <si>
    <t>{"ImportId":"QID50"}</t>
  </si>
  <si>
    <t>{"ImportId":"QID8"}</t>
  </si>
  <si>
    <t>{"ImportId":"QID9"}</t>
  </si>
  <si>
    <t>{"ImportId":"QID51"}</t>
  </si>
  <si>
    <t>{"ImportId":"QID10"}</t>
  </si>
  <si>
    <t>{"ImportId":"QID19"}</t>
  </si>
  <si>
    <t>{"ImportId":"QID52"}</t>
  </si>
  <si>
    <t>{"ImportId":"QID11"}</t>
  </si>
  <si>
    <t>{"ImportId":"QID12"}</t>
  </si>
  <si>
    <t>{"ImportId":"QID53"}</t>
  </si>
  <si>
    <t>{"ImportId":"QID47"}</t>
  </si>
  <si>
    <t>{"ImportId":"QID47_8_TEXT"}</t>
  </si>
  <si>
    <t>{"ImportId":"QID29"}</t>
  </si>
  <si>
    <t>{"ImportId":"QID31"}</t>
  </si>
  <si>
    <t>{"ImportId":"QID54"}</t>
  </si>
  <si>
    <t>{"ImportId":"QID33"}</t>
  </si>
  <si>
    <t>{"ImportId":"QID35"}</t>
  </si>
  <si>
    <t>{"ImportId":"QID55"}</t>
  </si>
  <si>
    <t>{"ImportId":"QID37"}</t>
  </si>
  <si>
    <t>{"ImportId":"QID39"}</t>
  </si>
  <si>
    <t>{"ImportId":"QID56"}</t>
  </si>
  <si>
    <t>{"ImportId":"QID41"}</t>
  </si>
  <si>
    <t>{"ImportId":"QID43"}</t>
  </si>
  <si>
    <t>{"ImportId":"QID57"}</t>
  </si>
  <si>
    <t>{"ImportId":"QID6"}</t>
  </si>
  <si>
    <t>{"ImportId":"QID45_1"}</t>
  </si>
  <si>
    <t>{"ImportId":"QID14"}</t>
  </si>
  <si>
    <t>{"ImportId":"QID15"}</t>
  </si>
  <si>
    <t>4 - Neither agree nor disagree</t>
  </si>
  <si>
    <t>Other</t>
  </si>
  <si>
    <t xml:space="preserve">I read the instructions </t>
  </si>
  <si>
    <t>At least once a month</t>
  </si>
  <si>
    <t>Male</t>
  </si>
  <si>
    <t>18-25</t>
  </si>
  <si>
    <t>7 - Strongly agree</t>
  </si>
  <si>
    <t>I read the instructions</t>
  </si>
  <si>
    <t>1 - Not at All Enjoyable</t>
  </si>
  <si>
    <t>Female</t>
  </si>
  <si>
    <t xml:space="preserve"> I read the instructions </t>
  </si>
  <si>
    <t>Rarely</t>
  </si>
  <si>
    <t>I read the instructions.</t>
  </si>
  <si>
    <t>1 - Strongly disagree</t>
  </si>
  <si>
    <t>i read the instructions</t>
  </si>
  <si>
    <t>Never</t>
  </si>
  <si>
    <t>7 - Best Shopping Trip Ever</t>
  </si>
  <si>
    <t xml:space="preserve">i read the instructions </t>
  </si>
  <si>
    <t>At least once per year</t>
  </si>
  <si>
    <t>26-40</t>
  </si>
  <si>
    <t>I read the directions</t>
  </si>
  <si>
    <t xml:space="preserve">I have read the instructions </t>
  </si>
  <si>
    <t xml:space="preserve">I read the instruction </t>
  </si>
  <si>
    <t xml:space="preserve">I read instructions </t>
  </si>
  <si>
    <t>i read instructions</t>
  </si>
  <si>
    <t>shopping joy</t>
  </si>
  <si>
    <t>love hunt</t>
  </si>
  <si>
    <t>30 minutes</t>
  </si>
  <si>
    <t>nofind</t>
  </si>
  <si>
    <t>neitherfind</t>
  </si>
  <si>
    <t>shirt rating</t>
  </si>
  <si>
    <t>cord rating</t>
  </si>
  <si>
    <t>bothfind</t>
  </si>
  <si>
    <t>all</t>
  </si>
  <si>
    <t>5 minutes</t>
  </si>
  <si>
    <t>% 5 to 7</t>
  </si>
  <si>
    <t>how often thrift</t>
  </si>
  <si>
    <t>1 = strongly disagree</t>
  </si>
  <si>
    <t>7 = strongly agree</t>
  </si>
  <si>
    <t>4 =  neither agree nor disagree</t>
  </si>
  <si>
    <t>avg</t>
  </si>
  <si>
    <t>st dev</t>
  </si>
  <si>
    <t>min</t>
  </si>
  <si>
    <t>max</t>
  </si>
  <si>
    <t>ideal search</t>
  </si>
  <si>
    <t xml:space="preserve">both find </t>
  </si>
  <si>
    <t>Imagine this weekend you are going to a party. Before the party, you and a friend go shopping at your favorite clothing store, which is selling vintage music T-shirts for $5 each. After 5 minutes hunting through unique clothing, you do not find a T-shirt to buy, but your friend finds a shir+Z2t with the name of her favorite singer. She purchases the shirt and you both go home to get ready for the party.
On a scale of 1-7, how enjoyable would this shopping experience be?</t>
  </si>
  <si>
    <t>shirt</t>
  </si>
  <si>
    <t>cord</t>
  </si>
  <si>
    <t>Power Cord</t>
  </si>
  <si>
    <t>Vintage Shirt</t>
  </si>
  <si>
    <t>Both Buy</t>
  </si>
  <si>
    <t>Friend Buys</t>
  </si>
  <si>
    <t>Neither Buys</t>
  </si>
  <si>
    <t>Std. Error Shirt</t>
  </si>
  <si>
    <t>Std. Error Cord</t>
  </si>
  <si>
    <t>mean</t>
  </si>
  <si>
    <t>Paste data from "raw data" sheet column on "Shopping is truly a joy" into column D here and keep only the numbers, not the text</t>
  </si>
  <si>
    <t>Paste data from "raw data" sheet column on "I go to thrift shops because I love hunting around" into column E here and keep only the numbers, not the text</t>
  </si>
  <si>
    <t>Paste data from "raw data" sheet column on "How often do you shop in thrift stores" into column I here</t>
  </si>
  <si>
    <t>total</t>
  </si>
  <si>
    <t>Sort by responde to how often thrift, paste answers for "At least once per month" or "At least once per year" in column C and all others in Column E</t>
  </si>
  <si>
    <t>Take data from "Raw Data" sheet on "How often do you shop in thrift stores?" and "I go to thrift shops because I love hunting around"</t>
  </si>
  <si>
    <t>t test of difference in means</t>
  </si>
  <si>
    <t>rare/never thrifters</t>
  </si>
  <si>
    <t>regular thrifters</t>
  </si>
  <si>
    <t>Take raw data on how often thrift, and "for a perfect shopping trip, how long would you like to look around", paste in columns H and J</t>
  </si>
  <si>
    <t>Histogram data</t>
  </si>
  <si>
    <t>all respondents</t>
  </si>
  <si>
    <t>Sort by how often thrift, and place data for regular thrifters in column C and rare/never thrifters in column F</t>
  </si>
  <si>
    <t>t tests</t>
  </si>
  <si>
    <t>Take raw data on gender, ideal search time, shopping joy, and love of hunting at thrift stores</t>
  </si>
  <si>
    <t>Sort by gender, place data on females in columns E,F,G,H, and for males in columns M,N,O,P</t>
  </si>
  <si>
    <t>ttest</t>
  </si>
  <si>
    <t>From raw data, create dummy variable for both find shirt to place in column c, dummy for 30 minute search in column d, dummy for 5 min in column e, and enjoyment rating in f</t>
  </si>
  <si>
    <t>From raw data, create dummy variable for both find shirt to place in column i, friend find shirt in column j, neither find in column k, and enjoyment rating in l</t>
  </si>
  <si>
    <t>ttests</t>
  </si>
  <si>
    <t>From raw data, create dummy variable for both find power cord to place in column n, friend find in column o, neither find in column p, and enjoyment rating in q</t>
  </si>
  <si>
    <t>t test for no find shirt vs find cord</t>
  </si>
  <si>
    <t>From raw data, create dummy variable for neither find shirt to place in column b, and enjoyment rating in c</t>
  </si>
  <si>
    <t>From raw data, create dummy variable for neither find cord to place in column e, and enjoyment rating in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</si>
</sst>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0" fillId="0" borderId="0" xfId="0" applyAlignment="1">
      <alignment wrapText="1"/>
    </xf>
    <xf numFmtId="2" fontId="0" fillId="0" borderId="0" xfId="0" applyNumberFormat="1"/>
    <xf numFmtId="0" fontId="0" fillId="0" borderId="0" xfId="0" applyAlignment="1">
      <alignment horizontal="right"/>
    </xf>
    <xf numFmtId="16" fontId="0" fillId="0" borderId="0" xfId="0" applyNumberFormat="1"/>
    <xf numFmtId="9" fontId="0" fillId="0" borderId="0" xfId="42" applyFont="1"/>
    <xf numFmtId="164" fontId="0" fillId="0" borderId="0" xfId="0" applyNumberFormat="1"/>
    <xf numFmtId="0" fontId="0" fillId="0" borderId="0" xfId="0" applyAlignment="1">
      <alignment horizontal="left"/>
    </xf>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13" Type="http://schemas.openxmlformats.org/officeDocument/2006/relationships/worksheet" Target="worksheets/sheet6.xml"/><Relationship Id="rId18" Type="http://schemas.openxmlformats.org/officeDocument/2006/relationships/calcChain" Target="calcChain.xml"/><Relationship Id="rId3" Type="http://schemas.openxmlformats.org/officeDocument/2006/relationships/worksheet" Target="worksheets/sheet1.xml"/><Relationship Id="rId7" Type="http://schemas.openxmlformats.org/officeDocument/2006/relationships/chartsheet" Target="chartsheets/sheet4.xml"/><Relationship Id="rId12" Type="http://schemas.openxmlformats.org/officeDocument/2006/relationships/chartsheet" Target="chartsheets/sheet7.xml"/><Relationship Id="rId17"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styles" Target="styles.xml"/><Relationship Id="rId1" Type="http://schemas.openxmlformats.org/officeDocument/2006/relationships/chartsheet" Target="chartsheets/sheet1.xml"/><Relationship Id="rId6" Type="http://schemas.openxmlformats.org/officeDocument/2006/relationships/worksheet" Target="worksheets/sheet3.xml"/><Relationship Id="rId11" Type="http://schemas.openxmlformats.org/officeDocument/2006/relationships/chartsheet" Target="chartsheets/sheet6.xml"/><Relationship Id="rId5" Type="http://schemas.openxmlformats.org/officeDocument/2006/relationships/worksheet" Target="worksheets/sheet2.xml"/><Relationship Id="rId15" Type="http://schemas.openxmlformats.org/officeDocument/2006/relationships/theme" Target="theme/theme1.xml"/><Relationship Id="rId10" Type="http://schemas.openxmlformats.org/officeDocument/2006/relationships/worksheet" Target="worksheets/sheet5.xml"/><Relationship Id="rId4" Type="http://schemas.openxmlformats.org/officeDocument/2006/relationships/chartsheet" Target="chartsheets/sheet3.xml"/><Relationship Id="rId9" Type="http://schemas.openxmlformats.org/officeDocument/2006/relationships/chartsheet" Target="chartsheets/sheet5.xml"/><Relationship Id="rId14" Type="http://schemas.openxmlformats.org/officeDocument/2006/relationships/worksheet" Target="worksheets/sheet7.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01127562724109"/>
          <c:y val="9.2999822747981159E-2"/>
          <c:w val="0.80081851140978111"/>
          <c:h val="0.74961858878649434"/>
        </c:manualLayout>
      </c:layout>
      <c:barChart>
        <c:barDir val="col"/>
        <c:grouping val="clustered"/>
        <c:varyColors val="0"/>
        <c:ser>
          <c:idx val="0"/>
          <c:order val="0"/>
          <c:spPr>
            <a:solidFill>
              <a:schemeClr val="accent1"/>
            </a:solidFill>
            <a:ln>
              <a:noFill/>
            </a:ln>
            <a:effectLst/>
          </c:spPr>
          <c:invertIfNegative val="0"/>
          <c:cat>
            <c:strRef>
              <c:f>'Data - Figures 11, 12'!$I$5:$I$11</c:f>
              <c:strCache>
                <c:ptCount val="7"/>
                <c:pt idx="0">
                  <c:v>1 - Not at All Enjoyable</c:v>
                </c:pt>
                <c:pt idx="1">
                  <c:v>2</c:v>
                </c:pt>
                <c:pt idx="2">
                  <c:v>3</c:v>
                </c:pt>
                <c:pt idx="3">
                  <c:v>4</c:v>
                </c:pt>
                <c:pt idx="4">
                  <c:v>5</c:v>
                </c:pt>
                <c:pt idx="5">
                  <c:v>6</c:v>
                </c:pt>
                <c:pt idx="6">
                  <c:v>7 - Best Shopping Trip Ever</c:v>
                </c:pt>
              </c:strCache>
            </c:strRef>
          </c:cat>
          <c:val>
            <c:numRef>
              <c:f>'Data - Figures 11, 12'!$L$5:$L$11</c:f>
              <c:numCache>
                <c:formatCode>General</c:formatCode>
                <c:ptCount val="7"/>
                <c:pt idx="0">
                  <c:v>9</c:v>
                </c:pt>
                <c:pt idx="1">
                  <c:v>3</c:v>
                </c:pt>
                <c:pt idx="2">
                  <c:v>3</c:v>
                </c:pt>
                <c:pt idx="3">
                  <c:v>1</c:v>
                </c:pt>
                <c:pt idx="4">
                  <c:v>0</c:v>
                </c:pt>
                <c:pt idx="5">
                  <c:v>0</c:v>
                </c:pt>
                <c:pt idx="6">
                  <c:v>0</c:v>
                </c:pt>
              </c:numCache>
            </c:numRef>
          </c:val>
          <c:extLst>
            <c:ext xmlns:c16="http://schemas.microsoft.com/office/drawing/2014/chart" uri="{C3380CC4-5D6E-409C-BE32-E72D297353CC}">
              <c16:uniqueId val="{00000000-4F0C-4E81-B3F9-90F7304DF70C}"/>
            </c:ext>
          </c:extLst>
        </c:ser>
        <c:dLbls>
          <c:showLegendKey val="0"/>
          <c:showVal val="0"/>
          <c:showCatName val="0"/>
          <c:showSerName val="0"/>
          <c:showPercent val="0"/>
          <c:showBubbleSize val="0"/>
        </c:dLbls>
        <c:gapWidth val="219"/>
        <c:overlap val="-27"/>
        <c:axId val="585872768"/>
        <c:axId val="585874208"/>
      </c:barChart>
      <c:catAx>
        <c:axId val="58587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5874208"/>
        <c:crosses val="autoZero"/>
        <c:auto val="1"/>
        <c:lblAlgn val="ctr"/>
        <c:lblOffset val="100"/>
        <c:noMultiLvlLbl val="0"/>
      </c:catAx>
      <c:valAx>
        <c:axId val="58587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5872768"/>
        <c:crosses val="autoZero"/>
        <c:crossBetween val="between"/>
        <c:majorUnit val="5"/>
      </c:valAx>
      <c:spPr>
        <a:noFill/>
        <a:ln>
          <a:solidFill>
            <a:schemeClr val="accent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01127562724109"/>
          <c:y val="9.2999822747981159E-2"/>
          <c:w val="0.80081851140978111"/>
          <c:h val="0.74961858878649434"/>
        </c:manualLayout>
      </c:layout>
      <c:barChart>
        <c:barDir val="col"/>
        <c:grouping val="clustered"/>
        <c:varyColors val="0"/>
        <c:ser>
          <c:idx val="0"/>
          <c:order val="0"/>
          <c:tx>
            <c:strRef>
              <c:f>'Data - Figures 11, 12'!$K$5:$K$11</c:f>
              <c:strCache>
                <c:ptCount val="7"/>
                <c:pt idx="0">
                  <c:v>2</c:v>
                </c:pt>
                <c:pt idx="1">
                  <c:v>2</c:v>
                </c:pt>
                <c:pt idx="2">
                  <c:v>6</c:v>
                </c:pt>
                <c:pt idx="3">
                  <c:v>4</c:v>
                </c:pt>
                <c:pt idx="4">
                  <c:v>7</c:v>
                </c:pt>
                <c:pt idx="5">
                  <c:v>1</c:v>
                </c:pt>
                <c:pt idx="6">
                  <c:v>0</c:v>
                </c:pt>
              </c:strCache>
            </c:strRef>
          </c:tx>
          <c:spPr>
            <a:solidFill>
              <a:schemeClr val="accent1"/>
            </a:solidFill>
            <a:ln>
              <a:noFill/>
            </a:ln>
            <a:effectLst/>
          </c:spPr>
          <c:invertIfNegative val="0"/>
          <c:cat>
            <c:strRef>
              <c:f>'Data - Figures 11, 12'!$I$5:$I$11</c:f>
              <c:strCache>
                <c:ptCount val="7"/>
                <c:pt idx="0">
                  <c:v>1 - Not at All Enjoyable</c:v>
                </c:pt>
                <c:pt idx="1">
                  <c:v>2</c:v>
                </c:pt>
                <c:pt idx="2">
                  <c:v>3</c:v>
                </c:pt>
                <c:pt idx="3">
                  <c:v>4</c:v>
                </c:pt>
                <c:pt idx="4">
                  <c:v>5</c:v>
                </c:pt>
                <c:pt idx="5">
                  <c:v>6</c:v>
                </c:pt>
                <c:pt idx="6">
                  <c:v>7 - Best Shopping Trip Ever</c:v>
                </c:pt>
              </c:strCache>
            </c:strRef>
          </c:cat>
          <c:val>
            <c:numRef>
              <c:f>'Data - Figures 11, 12'!$K$5:$K$11</c:f>
              <c:numCache>
                <c:formatCode>General</c:formatCode>
                <c:ptCount val="7"/>
                <c:pt idx="0">
                  <c:v>2</c:v>
                </c:pt>
                <c:pt idx="1">
                  <c:v>2</c:v>
                </c:pt>
                <c:pt idx="2">
                  <c:v>6</c:v>
                </c:pt>
                <c:pt idx="3">
                  <c:v>4</c:v>
                </c:pt>
                <c:pt idx="4">
                  <c:v>7</c:v>
                </c:pt>
                <c:pt idx="5">
                  <c:v>1</c:v>
                </c:pt>
                <c:pt idx="6">
                  <c:v>0</c:v>
                </c:pt>
              </c:numCache>
            </c:numRef>
          </c:val>
          <c:extLst>
            <c:ext xmlns:c16="http://schemas.microsoft.com/office/drawing/2014/chart" uri="{C3380CC4-5D6E-409C-BE32-E72D297353CC}">
              <c16:uniqueId val="{00000000-0CD8-403C-BA44-2C70691D1C45}"/>
            </c:ext>
          </c:extLst>
        </c:ser>
        <c:dLbls>
          <c:showLegendKey val="0"/>
          <c:showVal val="0"/>
          <c:showCatName val="0"/>
          <c:showSerName val="0"/>
          <c:showPercent val="0"/>
          <c:showBubbleSize val="0"/>
        </c:dLbls>
        <c:gapWidth val="219"/>
        <c:overlap val="-27"/>
        <c:axId val="585872768"/>
        <c:axId val="585874208"/>
      </c:barChart>
      <c:catAx>
        <c:axId val="58587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5874208"/>
        <c:crosses val="autoZero"/>
        <c:auto val="1"/>
        <c:lblAlgn val="ctr"/>
        <c:lblOffset val="100"/>
        <c:noMultiLvlLbl val="0"/>
      </c:catAx>
      <c:valAx>
        <c:axId val="58587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5872768"/>
        <c:crosses val="autoZero"/>
        <c:crossBetween val="between"/>
        <c:majorUnit val="5"/>
      </c:valAx>
      <c:spPr>
        <a:noFill/>
        <a:ln>
          <a:solidFill>
            <a:schemeClr val="accent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800608888964"/>
          <c:y val="0.11134636481659206"/>
          <c:w val="0.76002917814805804"/>
          <c:h val="0.81554005177036426"/>
        </c:manualLayout>
      </c:layout>
      <c:barChart>
        <c:barDir val="col"/>
        <c:grouping val="clustered"/>
        <c:varyColors val="0"/>
        <c:ser>
          <c:idx val="0"/>
          <c:order val="0"/>
          <c:tx>
            <c:strRef>
              <c:f>'Data - Figure 10'!$S$15</c:f>
              <c:strCache>
                <c:ptCount val="1"/>
                <c:pt idx="0">
                  <c:v>Vintage Shirt</c:v>
                </c:pt>
              </c:strCache>
            </c:strRef>
          </c:tx>
          <c:spPr>
            <a:solidFill>
              <a:schemeClr val="accent4">
                <a:lumMod val="40000"/>
                <a:lumOff val="60000"/>
              </a:schemeClr>
            </a:solidFill>
            <a:ln>
              <a:noFill/>
            </a:ln>
            <a:effectLst/>
          </c:spPr>
          <c:invertIfNegative val="0"/>
          <c:errBars>
            <c:errBarType val="both"/>
            <c:errValType val="cust"/>
            <c:noEndCap val="0"/>
            <c:plus>
              <c:numRef>
                <c:f>'Data - Figure 10'!$U$16:$U$18</c:f>
                <c:numCache>
                  <c:formatCode>General</c:formatCode>
                  <c:ptCount val="3"/>
                  <c:pt idx="0">
                    <c:v>0.20203050891044239</c:v>
                  </c:pt>
                  <c:pt idx="1">
                    <c:v>0.25487176197871164</c:v>
                  </c:pt>
                  <c:pt idx="2">
                    <c:v>0.29707348658955507</c:v>
                  </c:pt>
                </c:numCache>
              </c:numRef>
            </c:plus>
            <c:minus>
              <c:numRef>
                <c:f>'Data - Figure 10'!$U$16:$U$18</c:f>
                <c:numCache>
                  <c:formatCode>General</c:formatCode>
                  <c:ptCount val="3"/>
                  <c:pt idx="0">
                    <c:v>0.20203050891044239</c:v>
                  </c:pt>
                  <c:pt idx="1">
                    <c:v>0.25487176197871164</c:v>
                  </c:pt>
                  <c:pt idx="2">
                    <c:v>0.29707348658955507</c:v>
                  </c:pt>
                </c:numCache>
              </c:numRef>
            </c:minus>
            <c:spPr>
              <a:noFill/>
              <a:ln w="25400" cap="flat" cmpd="sng" algn="ctr">
                <a:solidFill>
                  <a:schemeClr val="tx1">
                    <a:lumMod val="65000"/>
                    <a:lumOff val="35000"/>
                  </a:schemeClr>
                </a:solidFill>
                <a:round/>
                <a:headEnd w="lg" len="lg"/>
                <a:tailEnd w="lg" len="lg"/>
              </a:ln>
              <a:effectLst/>
            </c:spPr>
          </c:errBars>
          <c:cat>
            <c:strRef>
              <c:f>'Data - Figure 10'!$R$16:$R$18</c:f>
              <c:strCache>
                <c:ptCount val="3"/>
                <c:pt idx="0">
                  <c:v>Both Buy</c:v>
                </c:pt>
                <c:pt idx="1">
                  <c:v>Friend Buys</c:v>
                </c:pt>
                <c:pt idx="2">
                  <c:v>Neither Buys</c:v>
                </c:pt>
              </c:strCache>
            </c:strRef>
          </c:cat>
          <c:val>
            <c:numRef>
              <c:f>'Data - Figure 10'!$S$16:$S$18</c:f>
              <c:numCache>
                <c:formatCode>0.00</c:formatCode>
                <c:ptCount val="3"/>
                <c:pt idx="0">
                  <c:v>6.4285714285714288</c:v>
                </c:pt>
                <c:pt idx="1">
                  <c:v>4.3043478260869561</c:v>
                </c:pt>
                <c:pt idx="2">
                  <c:v>3.6818181818181817</c:v>
                </c:pt>
              </c:numCache>
            </c:numRef>
          </c:val>
          <c:extLst>
            <c:ext xmlns:c16="http://schemas.microsoft.com/office/drawing/2014/chart" uri="{C3380CC4-5D6E-409C-BE32-E72D297353CC}">
              <c16:uniqueId val="{00000000-64F5-4EE8-929D-27DD7AE9031E}"/>
            </c:ext>
          </c:extLst>
        </c:ser>
        <c:ser>
          <c:idx val="1"/>
          <c:order val="1"/>
          <c:tx>
            <c:strRef>
              <c:f>'Data - Figure 10'!$T$15</c:f>
              <c:strCache>
                <c:ptCount val="1"/>
                <c:pt idx="0">
                  <c:v>Power Cord</c:v>
                </c:pt>
              </c:strCache>
            </c:strRef>
          </c:tx>
          <c:spPr>
            <a:solidFill>
              <a:schemeClr val="accent2"/>
            </a:solidFill>
            <a:ln>
              <a:noFill/>
            </a:ln>
            <a:effectLst/>
          </c:spPr>
          <c:invertIfNegative val="0"/>
          <c:errBars>
            <c:errBarType val="both"/>
            <c:errValType val="cust"/>
            <c:noEndCap val="0"/>
            <c:plus>
              <c:numRef>
                <c:f>'Data - Figure 10'!$V$16:$V$18</c:f>
                <c:numCache>
                  <c:formatCode>General</c:formatCode>
                  <c:ptCount val="3"/>
                  <c:pt idx="0">
                    <c:v>0.39036002917941326</c:v>
                  </c:pt>
                  <c:pt idx="1">
                    <c:v>0.24538238477521016</c:v>
                  </c:pt>
                  <c:pt idx="2">
                    <c:v>0.25</c:v>
                  </c:pt>
                </c:numCache>
              </c:numRef>
            </c:plus>
            <c:minus>
              <c:numRef>
                <c:f>'Data - Figure 10'!$V$16:$V$18</c:f>
                <c:numCache>
                  <c:formatCode>General</c:formatCode>
                  <c:ptCount val="3"/>
                  <c:pt idx="0">
                    <c:v>0.39036002917941326</c:v>
                  </c:pt>
                  <c:pt idx="1">
                    <c:v>0.24538238477521016</c:v>
                  </c:pt>
                  <c:pt idx="2">
                    <c:v>0.25</c:v>
                  </c:pt>
                </c:numCache>
              </c:numRef>
            </c:minus>
            <c:spPr>
              <a:noFill/>
              <a:ln w="25400" cap="flat" cmpd="sng" algn="ctr">
                <a:solidFill>
                  <a:schemeClr val="tx1">
                    <a:lumMod val="65000"/>
                    <a:lumOff val="35000"/>
                  </a:schemeClr>
                </a:solidFill>
                <a:round/>
                <a:headEnd w="lg" len="lg"/>
                <a:tailEnd w="lg" len="lg"/>
              </a:ln>
              <a:effectLst/>
            </c:spPr>
          </c:errBars>
          <c:cat>
            <c:strRef>
              <c:f>'Data - Figure 10'!$R$16:$R$18</c:f>
              <c:strCache>
                <c:ptCount val="3"/>
                <c:pt idx="0">
                  <c:v>Both Buy</c:v>
                </c:pt>
                <c:pt idx="1">
                  <c:v>Friend Buys</c:v>
                </c:pt>
                <c:pt idx="2">
                  <c:v>Neither Buys</c:v>
                </c:pt>
              </c:strCache>
            </c:strRef>
          </c:cat>
          <c:val>
            <c:numRef>
              <c:f>'Data - Figure 10'!$T$16:$T$18</c:f>
              <c:numCache>
                <c:formatCode>0.00</c:formatCode>
                <c:ptCount val="3"/>
                <c:pt idx="0">
                  <c:v>4</c:v>
                </c:pt>
                <c:pt idx="1">
                  <c:v>2.9090909090909092</c:v>
                </c:pt>
                <c:pt idx="2" formatCode="General">
                  <c:v>1.75</c:v>
                </c:pt>
              </c:numCache>
            </c:numRef>
          </c:val>
          <c:extLst>
            <c:ext xmlns:c16="http://schemas.microsoft.com/office/drawing/2014/chart" uri="{C3380CC4-5D6E-409C-BE32-E72D297353CC}">
              <c16:uniqueId val="{00000001-64F5-4EE8-929D-27DD7AE9031E}"/>
            </c:ext>
          </c:extLst>
        </c:ser>
        <c:dLbls>
          <c:showLegendKey val="0"/>
          <c:showVal val="0"/>
          <c:showCatName val="0"/>
          <c:showSerName val="0"/>
          <c:showPercent val="0"/>
          <c:showBubbleSize val="0"/>
        </c:dLbls>
        <c:gapWidth val="219"/>
        <c:overlap val="-27"/>
        <c:axId val="725356720"/>
        <c:axId val="725359240"/>
      </c:barChart>
      <c:catAx>
        <c:axId val="72535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25359240"/>
        <c:crosses val="autoZero"/>
        <c:auto val="1"/>
        <c:lblAlgn val="ctr"/>
        <c:lblOffset val="100"/>
        <c:noMultiLvlLbl val="0"/>
      </c:catAx>
      <c:valAx>
        <c:axId val="72535924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25356720"/>
        <c:crosses val="autoZero"/>
        <c:crossBetween val="between"/>
      </c:valAx>
      <c:spPr>
        <a:noFill/>
        <a:ln>
          <a:solidFill>
            <a:schemeClr val="tx1">
              <a:lumMod val="65000"/>
              <a:lumOff val="35000"/>
            </a:schemeClr>
          </a:solidFill>
        </a:ln>
        <a:effectLst/>
      </c:spPr>
    </c:plotArea>
    <c:legend>
      <c:legendPos val="t"/>
      <c:layout>
        <c:manualLayout>
          <c:xMode val="edge"/>
          <c:yMode val="edge"/>
          <c:x val="0.48821924169687925"/>
          <c:y val="0.15007337594833819"/>
          <c:w val="0.36313598882877879"/>
          <c:h val="8.2642236760791229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01127562724109"/>
          <c:y val="9.2999822747981159E-2"/>
          <c:w val="0.80081851140978111"/>
          <c:h val="0.73947849581701208"/>
        </c:manualLayout>
      </c:layout>
      <c:barChart>
        <c:barDir val="col"/>
        <c:grouping val="clustered"/>
        <c:varyColors val="0"/>
        <c:ser>
          <c:idx val="0"/>
          <c:order val="0"/>
          <c:spPr>
            <a:solidFill>
              <a:schemeClr val="accent1"/>
            </a:solidFill>
            <a:ln>
              <a:noFill/>
            </a:ln>
            <a:effectLst/>
          </c:spPr>
          <c:invertIfNegative val="0"/>
          <c:cat>
            <c:numRef>
              <c:f>'Data - Figure 9'!$M$17:$M$30</c:f>
              <c:numCache>
                <c:formatCode>General</c:formatCode>
                <c:ptCount val="14"/>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numCache>
            </c:numRef>
          </c:cat>
          <c:val>
            <c:numRef>
              <c:f>'Data - Figure 9'!$O$17:$O$30</c:f>
              <c:numCache>
                <c:formatCode>General</c:formatCode>
                <c:ptCount val="14"/>
                <c:pt idx="0">
                  <c:v>2</c:v>
                </c:pt>
                <c:pt idx="1">
                  <c:v>1</c:v>
                </c:pt>
                <c:pt idx="2">
                  <c:v>4</c:v>
                </c:pt>
                <c:pt idx="3">
                  <c:v>10</c:v>
                </c:pt>
                <c:pt idx="4">
                  <c:v>7</c:v>
                </c:pt>
                <c:pt idx="5">
                  <c:v>4</c:v>
                </c:pt>
                <c:pt idx="6">
                  <c:v>12</c:v>
                </c:pt>
                <c:pt idx="7">
                  <c:v>3</c:v>
                </c:pt>
                <c:pt idx="8">
                  <c:v>5</c:v>
                </c:pt>
                <c:pt idx="9">
                  <c:v>3</c:v>
                </c:pt>
                <c:pt idx="10">
                  <c:v>1</c:v>
                </c:pt>
                <c:pt idx="11">
                  <c:v>4</c:v>
                </c:pt>
                <c:pt idx="12">
                  <c:v>3</c:v>
                </c:pt>
                <c:pt idx="13">
                  <c:v>0</c:v>
                </c:pt>
              </c:numCache>
            </c:numRef>
          </c:val>
          <c:extLst>
            <c:ext xmlns:c16="http://schemas.microsoft.com/office/drawing/2014/chart" uri="{C3380CC4-5D6E-409C-BE32-E72D297353CC}">
              <c16:uniqueId val="{00000000-6244-4189-A83C-3AC9CA85AF8D}"/>
            </c:ext>
          </c:extLst>
        </c:ser>
        <c:dLbls>
          <c:showLegendKey val="0"/>
          <c:showVal val="0"/>
          <c:showCatName val="0"/>
          <c:showSerName val="0"/>
          <c:showPercent val="0"/>
          <c:showBubbleSize val="0"/>
        </c:dLbls>
        <c:gapWidth val="219"/>
        <c:overlap val="-27"/>
        <c:axId val="585872768"/>
        <c:axId val="585874208"/>
      </c:barChart>
      <c:catAx>
        <c:axId val="585872768"/>
        <c:scaling>
          <c:orientation val="minMax"/>
        </c:scaling>
        <c:delete val="0"/>
        <c:axPos val="b"/>
        <c:numFmt formatCode="General" sourceLinked="1"/>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5874208"/>
        <c:crosses val="autoZero"/>
        <c:auto val="1"/>
        <c:lblAlgn val="ctr"/>
        <c:lblOffset val="100"/>
        <c:noMultiLvlLbl val="0"/>
      </c:catAx>
      <c:valAx>
        <c:axId val="585874208"/>
        <c:scaling>
          <c:orientation val="minMax"/>
          <c:max val="1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5872768"/>
        <c:crosses val="autoZero"/>
        <c:crossBetween val="between"/>
        <c:majorUnit val="5"/>
      </c:valAx>
      <c:spPr>
        <a:noFill/>
        <a:ln>
          <a:solidFill>
            <a:schemeClr val="accent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01127562724109"/>
          <c:y val="9.2999822747981159E-2"/>
          <c:w val="0.80081851140978111"/>
          <c:h val="0.74961858878649434"/>
        </c:manualLayout>
      </c:layout>
      <c:barChart>
        <c:barDir val="col"/>
        <c:grouping val="clustered"/>
        <c:varyColors val="0"/>
        <c:ser>
          <c:idx val="0"/>
          <c:order val="0"/>
          <c:spPr>
            <a:solidFill>
              <a:schemeClr val="accent1"/>
            </a:solidFill>
            <a:ln>
              <a:noFill/>
            </a:ln>
            <a:effectLst/>
          </c:spPr>
          <c:invertIfNegative val="0"/>
          <c:cat>
            <c:strRef>
              <c:f>'Data - Figures 6, 7 and Table 3'!$B$9:$B$15</c:f>
              <c:strCache>
                <c:ptCount val="7"/>
                <c:pt idx="0">
                  <c:v>1 = strongly disagree</c:v>
                </c:pt>
                <c:pt idx="1">
                  <c:v>2</c:v>
                </c:pt>
                <c:pt idx="2">
                  <c:v>3</c:v>
                </c:pt>
                <c:pt idx="3">
                  <c:v>4 =  neither agree nor disagree</c:v>
                </c:pt>
                <c:pt idx="4">
                  <c:v>5</c:v>
                </c:pt>
                <c:pt idx="5">
                  <c:v>6</c:v>
                </c:pt>
                <c:pt idx="6">
                  <c:v>7 = strongly agree</c:v>
                </c:pt>
              </c:strCache>
            </c:strRef>
          </c:cat>
          <c:val>
            <c:numRef>
              <c:f>'Data - Figure 8'!$C$11:$C$17</c:f>
              <c:numCache>
                <c:formatCode>General</c:formatCode>
                <c:ptCount val="7"/>
                <c:pt idx="0">
                  <c:v>0</c:v>
                </c:pt>
                <c:pt idx="1">
                  <c:v>2</c:v>
                </c:pt>
                <c:pt idx="2">
                  <c:v>2</c:v>
                </c:pt>
                <c:pt idx="3">
                  <c:v>2</c:v>
                </c:pt>
                <c:pt idx="4">
                  <c:v>5</c:v>
                </c:pt>
                <c:pt idx="5">
                  <c:v>12</c:v>
                </c:pt>
                <c:pt idx="6">
                  <c:v>10</c:v>
                </c:pt>
              </c:numCache>
            </c:numRef>
          </c:val>
          <c:extLst>
            <c:ext xmlns:c16="http://schemas.microsoft.com/office/drawing/2014/chart" uri="{C3380CC4-5D6E-409C-BE32-E72D297353CC}">
              <c16:uniqueId val="{00000000-F626-4FFB-B592-F27969A345D1}"/>
            </c:ext>
          </c:extLst>
        </c:ser>
        <c:dLbls>
          <c:showLegendKey val="0"/>
          <c:showVal val="0"/>
          <c:showCatName val="0"/>
          <c:showSerName val="0"/>
          <c:showPercent val="0"/>
          <c:showBubbleSize val="0"/>
        </c:dLbls>
        <c:gapWidth val="219"/>
        <c:overlap val="-27"/>
        <c:axId val="585872768"/>
        <c:axId val="585874208"/>
      </c:barChart>
      <c:catAx>
        <c:axId val="58587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5874208"/>
        <c:crosses val="autoZero"/>
        <c:auto val="1"/>
        <c:lblAlgn val="ctr"/>
        <c:lblOffset val="100"/>
        <c:noMultiLvlLbl val="0"/>
      </c:catAx>
      <c:valAx>
        <c:axId val="585874208"/>
        <c:scaling>
          <c:orientation val="minMax"/>
          <c:max val="2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5872768"/>
        <c:crosses val="autoZero"/>
        <c:crossBetween val="between"/>
        <c:majorUnit val="5"/>
      </c:valAx>
      <c:spPr>
        <a:noFill/>
        <a:ln>
          <a:solidFill>
            <a:schemeClr val="accent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01127562724109"/>
          <c:y val="9.2999822747981159E-2"/>
          <c:w val="0.80081851140978111"/>
          <c:h val="0.74961858878649434"/>
        </c:manualLayout>
      </c:layout>
      <c:barChart>
        <c:barDir val="col"/>
        <c:grouping val="clustered"/>
        <c:varyColors val="0"/>
        <c:ser>
          <c:idx val="0"/>
          <c:order val="0"/>
          <c:spPr>
            <a:solidFill>
              <a:schemeClr val="accent1"/>
            </a:solidFill>
            <a:ln>
              <a:noFill/>
            </a:ln>
            <a:effectLst/>
          </c:spPr>
          <c:invertIfNegative val="0"/>
          <c:cat>
            <c:strRef>
              <c:f>'Data - Figures 6, 7 and Table 3'!$B$9:$B$15</c:f>
              <c:strCache>
                <c:ptCount val="7"/>
                <c:pt idx="0">
                  <c:v>1 = strongly disagree</c:v>
                </c:pt>
                <c:pt idx="1">
                  <c:v>2</c:v>
                </c:pt>
                <c:pt idx="2">
                  <c:v>3</c:v>
                </c:pt>
                <c:pt idx="3">
                  <c:v>4 =  neither agree nor disagree</c:v>
                </c:pt>
                <c:pt idx="4">
                  <c:v>5</c:v>
                </c:pt>
                <c:pt idx="5">
                  <c:v>6</c:v>
                </c:pt>
                <c:pt idx="6">
                  <c:v>7 = strongly agree</c:v>
                </c:pt>
              </c:strCache>
            </c:strRef>
          </c:cat>
          <c:val>
            <c:numRef>
              <c:f>'Data - Figures 6, 7 and Table 3'!$D$9:$D$15</c:f>
              <c:numCache>
                <c:formatCode>General</c:formatCode>
                <c:ptCount val="7"/>
                <c:pt idx="0">
                  <c:v>1</c:v>
                </c:pt>
                <c:pt idx="1">
                  <c:v>0</c:v>
                </c:pt>
                <c:pt idx="2">
                  <c:v>3</c:v>
                </c:pt>
                <c:pt idx="3">
                  <c:v>3</c:v>
                </c:pt>
                <c:pt idx="4">
                  <c:v>19</c:v>
                </c:pt>
                <c:pt idx="5">
                  <c:v>14</c:v>
                </c:pt>
                <c:pt idx="6">
                  <c:v>19</c:v>
                </c:pt>
              </c:numCache>
            </c:numRef>
          </c:val>
          <c:extLst>
            <c:ext xmlns:c16="http://schemas.microsoft.com/office/drawing/2014/chart" uri="{C3380CC4-5D6E-409C-BE32-E72D297353CC}">
              <c16:uniqueId val="{00000000-2DCC-42E7-8831-50AC0AF772C7}"/>
            </c:ext>
          </c:extLst>
        </c:ser>
        <c:dLbls>
          <c:showLegendKey val="0"/>
          <c:showVal val="0"/>
          <c:showCatName val="0"/>
          <c:showSerName val="0"/>
          <c:showPercent val="0"/>
          <c:showBubbleSize val="0"/>
        </c:dLbls>
        <c:gapWidth val="219"/>
        <c:overlap val="-27"/>
        <c:axId val="585872768"/>
        <c:axId val="585874208"/>
      </c:barChart>
      <c:catAx>
        <c:axId val="58587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5874208"/>
        <c:crosses val="autoZero"/>
        <c:auto val="1"/>
        <c:lblAlgn val="ctr"/>
        <c:lblOffset val="100"/>
        <c:noMultiLvlLbl val="0"/>
      </c:catAx>
      <c:valAx>
        <c:axId val="58587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5872768"/>
        <c:crosses val="autoZero"/>
        <c:crossBetween val="between"/>
        <c:majorUnit val="5"/>
      </c:valAx>
      <c:spPr>
        <a:noFill/>
        <a:ln>
          <a:solidFill>
            <a:schemeClr val="accent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01127562724109"/>
          <c:y val="9.2999822747981159E-2"/>
          <c:w val="0.80081851140978111"/>
          <c:h val="0.74961858878649434"/>
        </c:manualLayout>
      </c:layout>
      <c:barChart>
        <c:barDir val="col"/>
        <c:grouping val="clustered"/>
        <c:varyColors val="0"/>
        <c:ser>
          <c:idx val="0"/>
          <c:order val="0"/>
          <c:spPr>
            <a:solidFill>
              <a:schemeClr val="accent1"/>
            </a:solidFill>
            <a:ln>
              <a:noFill/>
            </a:ln>
            <a:effectLst/>
          </c:spPr>
          <c:invertIfNegative val="0"/>
          <c:cat>
            <c:strRef>
              <c:f>'Data - Figures 6, 7 and Table 3'!$B$9:$B$15</c:f>
              <c:strCache>
                <c:ptCount val="7"/>
                <c:pt idx="0">
                  <c:v>1 = strongly disagree</c:v>
                </c:pt>
                <c:pt idx="1">
                  <c:v>2</c:v>
                </c:pt>
                <c:pt idx="2">
                  <c:v>3</c:v>
                </c:pt>
                <c:pt idx="3">
                  <c:v>4 =  neither agree nor disagree</c:v>
                </c:pt>
                <c:pt idx="4">
                  <c:v>5</c:v>
                </c:pt>
                <c:pt idx="5">
                  <c:v>6</c:v>
                </c:pt>
                <c:pt idx="6">
                  <c:v>7 = strongly agree</c:v>
                </c:pt>
              </c:strCache>
            </c:strRef>
          </c:cat>
          <c:val>
            <c:numRef>
              <c:f>'Data - Figures 6, 7 and Table 3'!$E$9:$E$15</c:f>
              <c:numCache>
                <c:formatCode>General</c:formatCode>
                <c:ptCount val="7"/>
                <c:pt idx="0">
                  <c:v>8</c:v>
                </c:pt>
                <c:pt idx="1">
                  <c:v>8</c:v>
                </c:pt>
                <c:pt idx="2">
                  <c:v>7</c:v>
                </c:pt>
                <c:pt idx="3">
                  <c:v>6</c:v>
                </c:pt>
                <c:pt idx="4">
                  <c:v>7</c:v>
                </c:pt>
                <c:pt idx="5">
                  <c:v>13</c:v>
                </c:pt>
                <c:pt idx="6">
                  <c:v>10</c:v>
                </c:pt>
              </c:numCache>
            </c:numRef>
          </c:val>
          <c:extLst>
            <c:ext xmlns:c16="http://schemas.microsoft.com/office/drawing/2014/chart" uri="{C3380CC4-5D6E-409C-BE32-E72D297353CC}">
              <c16:uniqueId val="{00000000-C393-4935-B272-5981D29137B8}"/>
            </c:ext>
          </c:extLst>
        </c:ser>
        <c:dLbls>
          <c:showLegendKey val="0"/>
          <c:showVal val="0"/>
          <c:showCatName val="0"/>
          <c:showSerName val="0"/>
          <c:showPercent val="0"/>
          <c:showBubbleSize val="0"/>
        </c:dLbls>
        <c:gapWidth val="219"/>
        <c:overlap val="-27"/>
        <c:axId val="585872768"/>
        <c:axId val="585874208"/>
      </c:barChart>
      <c:catAx>
        <c:axId val="58587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5874208"/>
        <c:crosses val="autoZero"/>
        <c:auto val="1"/>
        <c:lblAlgn val="ctr"/>
        <c:lblOffset val="100"/>
        <c:noMultiLvlLbl val="0"/>
      </c:catAx>
      <c:valAx>
        <c:axId val="585874208"/>
        <c:scaling>
          <c:orientation val="minMax"/>
          <c:max val="2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5872768"/>
        <c:crosses val="autoZero"/>
        <c:crossBetween val="between"/>
        <c:majorUnit val="5"/>
      </c:valAx>
      <c:spPr>
        <a:noFill/>
        <a:ln>
          <a:solidFill>
            <a:schemeClr val="accent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C876286-77DC-45EA-ACDE-0423CFF6F665}">
  <sheetPr/>
  <sheetViews>
    <sheetView zoomScale="75"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B769D7C-EEB4-4C90-8F49-559A4031E08A}">
  <sheetPr/>
  <sheetViews>
    <sheetView zoomScale="75"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F193B41-B6D7-4555-A40F-F180C706B063}">
  <sheetPr/>
  <sheetViews>
    <sheetView zoomScale="75" workbookViewId="0" zoomToFit="1"/>
  </sheetViews>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0B9DF7F-F9A6-447D-8B40-12A5C8EAD146}">
  <sheetPr/>
  <sheetViews>
    <sheetView zoomScale="75"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8405613-6BCA-4C14-AA79-E41E58C62FD0}">
  <sheetPr/>
  <sheetViews>
    <sheetView zoomScale="75"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0612F60-7C43-4C01-B6B1-1F16F97C729C}">
  <sheetPr/>
  <sheetViews>
    <sheetView zoomScale="75" workbookViewId="0" zoomToFit="1"/>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393F841-62E2-4915-ABB8-6D20FD1CCF16}">
  <sheetPr/>
  <sheetViews>
    <sheetView zoomScale="75"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absoluteAnchor>
    <xdr:pos x="0" y="0"/>
    <xdr:ext cx="8636000" cy="6261100"/>
    <xdr:graphicFrame macro="">
      <xdr:nvGraphicFramePr>
        <xdr:cNvPr id="2" name="Chart 1">
          <a:extLst>
            <a:ext uri="{FF2B5EF4-FFF2-40B4-BE49-F238E27FC236}">
              <a16:creationId xmlns:a16="http://schemas.microsoft.com/office/drawing/2014/main" id="{DD41E95D-1E68-346F-9989-12C91D8514D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0.01257</cdr:x>
      <cdr:y>0.33155</cdr:y>
    </cdr:from>
    <cdr:to>
      <cdr:x>0.12954</cdr:x>
      <cdr:y>0.53969</cdr:y>
    </cdr:to>
    <cdr:sp macro="" textlink="">
      <cdr:nvSpPr>
        <cdr:cNvPr id="2" name="TextBox 1">
          <a:extLst xmlns:a="http://schemas.openxmlformats.org/drawingml/2006/main">
            <a:ext uri="{FF2B5EF4-FFF2-40B4-BE49-F238E27FC236}">
              <a16:creationId xmlns:a16="http://schemas.microsoft.com/office/drawing/2014/main" id="{6792977A-46BC-D840-1359-48A8719F5A76}"/>
            </a:ext>
          </a:extLst>
        </cdr:cNvPr>
        <cdr:cNvSpPr txBox="1"/>
      </cdr:nvSpPr>
      <cdr:spPr>
        <a:xfrm xmlns:a="http://schemas.openxmlformats.org/drawingml/2006/main">
          <a:off x="108619" y="2076283"/>
          <a:ext cx="1010486" cy="13034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600" b="0" kern="1200"/>
            <a:t>Count of</a:t>
          </a:r>
        </a:p>
        <a:p xmlns:a="http://schemas.openxmlformats.org/drawingml/2006/main">
          <a:pPr algn="ctr"/>
          <a:r>
            <a:rPr lang="en-US" sz="1600" b="0" kern="1200"/>
            <a:t>Responses</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636000" cy="6261100"/>
    <xdr:graphicFrame macro="">
      <xdr:nvGraphicFramePr>
        <xdr:cNvPr id="2" name="Chart 1">
          <a:extLst>
            <a:ext uri="{FF2B5EF4-FFF2-40B4-BE49-F238E27FC236}">
              <a16:creationId xmlns:a16="http://schemas.microsoft.com/office/drawing/2014/main" id="{93FD97A1-331A-2100-2FB1-FA1551CFF2A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0.01257</cdr:x>
      <cdr:y>0.33155</cdr:y>
    </cdr:from>
    <cdr:to>
      <cdr:x>0.12954</cdr:x>
      <cdr:y>0.53969</cdr:y>
    </cdr:to>
    <cdr:sp macro="" textlink="">
      <cdr:nvSpPr>
        <cdr:cNvPr id="2" name="TextBox 1">
          <a:extLst xmlns:a="http://schemas.openxmlformats.org/drawingml/2006/main">
            <a:ext uri="{FF2B5EF4-FFF2-40B4-BE49-F238E27FC236}">
              <a16:creationId xmlns:a16="http://schemas.microsoft.com/office/drawing/2014/main" id="{6792977A-46BC-D840-1359-48A8719F5A76}"/>
            </a:ext>
          </a:extLst>
        </cdr:cNvPr>
        <cdr:cNvSpPr txBox="1"/>
      </cdr:nvSpPr>
      <cdr:spPr>
        <a:xfrm xmlns:a="http://schemas.openxmlformats.org/drawingml/2006/main">
          <a:off x="108619" y="2076283"/>
          <a:ext cx="1010486" cy="13034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600" b="0" kern="1200"/>
            <a:t>Count of</a:t>
          </a:r>
        </a:p>
        <a:p xmlns:a="http://schemas.openxmlformats.org/drawingml/2006/main">
          <a:pPr algn="ctr"/>
          <a:r>
            <a:rPr lang="en-US" sz="1600" b="0" kern="1200"/>
            <a:t>Responses</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36000" cy="6261100"/>
    <xdr:graphicFrame macro="">
      <xdr:nvGraphicFramePr>
        <xdr:cNvPr id="2" name="Chart 1">
          <a:extLst>
            <a:ext uri="{FF2B5EF4-FFF2-40B4-BE49-F238E27FC236}">
              <a16:creationId xmlns:a16="http://schemas.microsoft.com/office/drawing/2014/main" id="{58AF3B7E-A3C8-60D6-A1A8-175816D4E4D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0.01064</cdr:x>
      <cdr:y>0.37292</cdr:y>
    </cdr:from>
    <cdr:to>
      <cdr:x>0.15468</cdr:x>
      <cdr:y>0.67578</cdr:y>
    </cdr:to>
    <cdr:sp macro="" textlink="">
      <cdr:nvSpPr>
        <cdr:cNvPr id="2" name="TextBox 1">
          <a:extLst xmlns:a="http://schemas.openxmlformats.org/drawingml/2006/main">
            <a:ext uri="{FF2B5EF4-FFF2-40B4-BE49-F238E27FC236}">
              <a16:creationId xmlns:a16="http://schemas.microsoft.com/office/drawing/2014/main" id="{55257EF5-3D2C-3880-A8FA-DF8171821215}"/>
            </a:ext>
          </a:extLst>
        </cdr:cNvPr>
        <cdr:cNvSpPr txBox="1"/>
      </cdr:nvSpPr>
      <cdr:spPr>
        <a:xfrm xmlns:a="http://schemas.openxmlformats.org/drawingml/2006/main">
          <a:off x="91908" y="2335297"/>
          <a:ext cx="1244433" cy="18966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800" kern="1200"/>
            <a:t>Average</a:t>
          </a:r>
        </a:p>
        <a:p xmlns:a="http://schemas.openxmlformats.org/drawingml/2006/main">
          <a:pPr algn="ctr"/>
          <a:r>
            <a:rPr lang="en-US" sz="1800" kern="1200"/>
            <a:t>Enjoyment</a:t>
          </a:r>
        </a:p>
        <a:p xmlns:a="http://schemas.openxmlformats.org/drawingml/2006/main">
          <a:pPr algn="ctr"/>
          <a:r>
            <a:rPr lang="en-US" sz="1800" kern="1200"/>
            <a:t>Rating</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636000" cy="6261100"/>
    <xdr:graphicFrame macro="">
      <xdr:nvGraphicFramePr>
        <xdr:cNvPr id="2" name="Chart 1">
          <a:extLst>
            <a:ext uri="{FF2B5EF4-FFF2-40B4-BE49-F238E27FC236}">
              <a16:creationId xmlns:a16="http://schemas.microsoft.com/office/drawing/2014/main" id="{96F55CD9-E69F-C849-C574-FAD2B2F2063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0.01257</cdr:x>
      <cdr:y>0.33155</cdr:y>
    </cdr:from>
    <cdr:to>
      <cdr:x>0.12954</cdr:x>
      <cdr:y>0.53969</cdr:y>
    </cdr:to>
    <cdr:sp macro="" textlink="">
      <cdr:nvSpPr>
        <cdr:cNvPr id="2" name="TextBox 1">
          <a:extLst xmlns:a="http://schemas.openxmlformats.org/drawingml/2006/main">
            <a:ext uri="{FF2B5EF4-FFF2-40B4-BE49-F238E27FC236}">
              <a16:creationId xmlns:a16="http://schemas.microsoft.com/office/drawing/2014/main" id="{6792977A-46BC-D840-1359-48A8719F5A76}"/>
            </a:ext>
          </a:extLst>
        </cdr:cNvPr>
        <cdr:cNvSpPr txBox="1"/>
      </cdr:nvSpPr>
      <cdr:spPr>
        <a:xfrm xmlns:a="http://schemas.openxmlformats.org/drawingml/2006/main">
          <a:off x="108619" y="2076283"/>
          <a:ext cx="1010486" cy="13034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600" b="0" kern="1200"/>
            <a:t>Count of</a:t>
          </a:r>
        </a:p>
        <a:p xmlns:a="http://schemas.openxmlformats.org/drawingml/2006/main">
          <a:pPr algn="ctr"/>
          <a:r>
            <a:rPr lang="en-US" sz="1600" b="0" kern="1200"/>
            <a:t>Responses</a:t>
          </a:r>
        </a:p>
      </cdr:txBody>
    </cdr:sp>
  </cdr:relSizeAnchor>
  <cdr:relSizeAnchor xmlns:cdr="http://schemas.openxmlformats.org/drawingml/2006/chartDrawing">
    <cdr:from>
      <cdr:x>0.36412</cdr:x>
      <cdr:y>0.91995</cdr:y>
    </cdr:from>
    <cdr:to>
      <cdr:x>0.794</cdr:x>
      <cdr:y>0.96264</cdr:y>
    </cdr:to>
    <cdr:sp macro="" textlink="">
      <cdr:nvSpPr>
        <cdr:cNvPr id="3" name="TextBox 1">
          <a:extLst xmlns:a="http://schemas.openxmlformats.org/drawingml/2006/main">
            <a:ext uri="{FF2B5EF4-FFF2-40B4-BE49-F238E27FC236}">
              <a16:creationId xmlns:a16="http://schemas.microsoft.com/office/drawing/2014/main" id="{6EC624DC-4F33-5356-B09C-78516C101B4C}"/>
            </a:ext>
          </a:extLst>
        </cdr:cNvPr>
        <cdr:cNvSpPr txBox="1"/>
      </cdr:nvSpPr>
      <cdr:spPr>
        <a:xfrm xmlns:a="http://schemas.openxmlformats.org/drawingml/2006/main">
          <a:off x="3145757" y="5760954"/>
          <a:ext cx="3713914" cy="26736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0" kern="1200"/>
            <a:t>Ideal Minutes of Search</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636000" cy="6261100"/>
    <xdr:graphicFrame macro="">
      <xdr:nvGraphicFramePr>
        <xdr:cNvPr id="2" name="Chart 1">
          <a:extLst>
            <a:ext uri="{FF2B5EF4-FFF2-40B4-BE49-F238E27FC236}">
              <a16:creationId xmlns:a16="http://schemas.microsoft.com/office/drawing/2014/main" id="{C10CBE80-E5FA-534F-A432-66F4D53B55D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0.01257</cdr:x>
      <cdr:y>0.33155</cdr:y>
    </cdr:from>
    <cdr:to>
      <cdr:x>0.12954</cdr:x>
      <cdr:y>0.53969</cdr:y>
    </cdr:to>
    <cdr:sp macro="" textlink="">
      <cdr:nvSpPr>
        <cdr:cNvPr id="2" name="TextBox 1">
          <a:extLst xmlns:a="http://schemas.openxmlformats.org/drawingml/2006/main">
            <a:ext uri="{FF2B5EF4-FFF2-40B4-BE49-F238E27FC236}">
              <a16:creationId xmlns:a16="http://schemas.microsoft.com/office/drawing/2014/main" id="{6792977A-46BC-D840-1359-48A8719F5A76}"/>
            </a:ext>
          </a:extLst>
        </cdr:cNvPr>
        <cdr:cNvSpPr txBox="1"/>
      </cdr:nvSpPr>
      <cdr:spPr>
        <a:xfrm xmlns:a="http://schemas.openxmlformats.org/drawingml/2006/main">
          <a:off x="108619" y="2076283"/>
          <a:ext cx="1010486" cy="13034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600" b="0" kern="1200"/>
            <a:t>Count of</a:t>
          </a:r>
        </a:p>
        <a:p xmlns:a="http://schemas.openxmlformats.org/drawingml/2006/main">
          <a:pPr algn="ctr"/>
          <a:r>
            <a:rPr lang="en-US" sz="1600" b="0" kern="1200"/>
            <a:t>Responses</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636000" cy="6261100"/>
    <xdr:graphicFrame macro="">
      <xdr:nvGraphicFramePr>
        <xdr:cNvPr id="2" name="Chart 1">
          <a:extLst>
            <a:ext uri="{FF2B5EF4-FFF2-40B4-BE49-F238E27FC236}">
              <a16:creationId xmlns:a16="http://schemas.microsoft.com/office/drawing/2014/main" id="{A4D83C84-15D5-2649-A5E3-32928EDA6A5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0.01257</cdr:x>
      <cdr:y>0.33155</cdr:y>
    </cdr:from>
    <cdr:to>
      <cdr:x>0.12954</cdr:x>
      <cdr:y>0.53969</cdr:y>
    </cdr:to>
    <cdr:sp macro="" textlink="">
      <cdr:nvSpPr>
        <cdr:cNvPr id="2" name="TextBox 1">
          <a:extLst xmlns:a="http://schemas.openxmlformats.org/drawingml/2006/main">
            <a:ext uri="{FF2B5EF4-FFF2-40B4-BE49-F238E27FC236}">
              <a16:creationId xmlns:a16="http://schemas.microsoft.com/office/drawing/2014/main" id="{6792977A-46BC-D840-1359-48A8719F5A76}"/>
            </a:ext>
          </a:extLst>
        </cdr:cNvPr>
        <cdr:cNvSpPr txBox="1"/>
      </cdr:nvSpPr>
      <cdr:spPr>
        <a:xfrm xmlns:a="http://schemas.openxmlformats.org/drawingml/2006/main">
          <a:off x="108619" y="2076283"/>
          <a:ext cx="1010486" cy="13034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600" b="0" kern="1200"/>
            <a:t>Count of</a:t>
          </a:r>
        </a:p>
        <a:p xmlns:a="http://schemas.openxmlformats.org/drawingml/2006/main">
          <a:pPr algn="ctr"/>
          <a:r>
            <a:rPr lang="en-US" sz="1600" b="0" kern="1200"/>
            <a:t>Responses</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636000" cy="6261100"/>
    <xdr:graphicFrame macro="">
      <xdr:nvGraphicFramePr>
        <xdr:cNvPr id="2" name="Chart 1">
          <a:extLst>
            <a:ext uri="{FF2B5EF4-FFF2-40B4-BE49-F238E27FC236}">
              <a16:creationId xmlns:a16="http://schemas.microsoft.com/office/drawing/2014/main" id="{CD7DE98D-E754-762E-1891-CF74C81D1E5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0.01257</cdr:x>
      <cdr:y>0.33155</cdr:y>
    </cdr:from>
    <cdr:to>
      <cdr:x>0.12954</cdr:x>
      <cdr:y>0.53969</cdr:y>
    </cdr:to>
    <cdr:sp macro="" textlink="">
      <cdr:nvSpPr>
        <cdr:cNvPr id="2" name="TextBox 1">
          <a:extLst xmlns:a="http://schemas.openxmlformats.org/drawingml/2006/main">
            <a:ext uri="{FF2B5EF4-FFF2-40B4-BE49-F238E27FC236}">
              <a16:creationId xmlns:a16="http://schemas.microsoft.com/office/drawing/2014/main" id="{6792977A-46BC-D840-1359-48A8719F5A76}"/>
            </a:ext>
          </a:extLst>
        </cdr:cNvPr>
        <cdr:cNvSpPr txBox="1"/>
      </cdr:nvSpPr>
      <cdr:spPr>
        <a:xfrm xmlns:a="http://schemas.openxmlformats.org/drawingml/2006/main">
          <a:off x="108619" y="2076283"/>
          <a:ext cx="1010486" cy="13034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600" b="0" kern="1200"/>
            <a:t>Count of</a:t>
          </a:r>
        </a:p>
        <a:p xmlns:a="http://schemas.openxmlformats.org/drawingml/2006/main">
          <a:pPr algn="ctr"/>
          <a:r>
            <a:rPr lang="en-US" sz="1600" b="0" kern="1200"/>
            <a:t>Responses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86DD3-E442-42D3-AAA5-F6B77F5E4911}">
  <dimension ref="B1:L27"/>
  <sheetViews>
    <sheetView workbookViewId="0"/>
  </sheetViews>
  <sheetFormatPr defaultRowHeight="14.75" x14ac:dyDescent="0.75"/>
  <cols>
    <col min="8" max="8" width="11.6796875" bestFit="1" customWidth="1"/>
    <col min="9" max="9" width="24.40625" bestFit="1" customWidth="1"/>
  </cols>
  <sheetData>
    <row r="1" spans="2:12" x14ac:dyDescent="0.75">
      <c r="B1" s="8" t="s">
        <v>174</v>
      </c>
    </row>
    <row r="2" spans="2:12" x14ac:dyDescent="0.75">
      <c r="B2" s="8" t="s">
        <v>175</v>
      </c>
    </row>
    <row r="4" spans="2:12" x14ac:dyDescent="0.75">
      <c r="K4" t="s">
        <v>142</v>
      </c>
      <c r="L4" t="s">
        <v>143</v>
      </c>
    </row>
    <row r="5" spans="2:12" x14ac:dyDescent="0.75">
      <c r="B5" s="3" t="s">
        <v>124</v>
      </c>
      <c r="C5" s="3" t="s">
        <v>125</v>
      </c>
      <c r="E5" s="3" t="s">
        <v>124</v>
      </c>
      <c r="F5" s="3" t="s">
        <v>126</v>
      </c>
      <c r="I5" s="7" t="s">
        <v>103</v>
      </c>
      <c r="J5">
        <v>1</v>
      </c>
      <c r="K5">
        <f>COUNTIF($C$6:$C$27,J5)</f>
        <v>2</v>
      </c>
      <c r="L5">
        <f>COUNTIF($F$6:$F$21,J5)</f>
        <v>9</v>
      </c>
    </row>
    <row r="6" spans="2:12" x14ac:dyDescent="0.75">
      <c r="B6">
        <v>1</v>
      </c>
      <c r="C6">
        <v>4</v>
      </c>
      <c r="E6">
        <v>1</v>
      </c>
      <c r="F6">
        <v>1</v>
      </c>
      <c r="I6" s="7">
        <v>2</v>
      </c>
      <c r="J6">
        <v>2</v>
      </c>
      <c r="K6">
        <f t="shared" ref="K6:K11" si="0">COUNTIF($C$6:$C$27,J6)</f>
        <v>2</v>
      </c>
      <c r="L6">
        <f t="shared" ref="L6:L11" si="1">COUNTIF($F$6:$F$21,J6)</f>
        <v>3</v>
      </c>
    </row>
    <row r="7" spans="2:12" x14ac:dyDescent="0.75">
      <c r="B7">
        <v>1</v>
      </c>
      <c r="C7">
        <v>5</v>
      </c>
      <c r="E7">
        <v>1</v>
      </c>
      <c r="F7">
        <v>1</v>
      </c>
      <c r="I7" s="7">
        <v>3</v>
      </c>
      <c r="J7">
        <v>3</v>
      </c>
      <c r="K7">
        <f t="shared" si="0"/>
        <v>6</v>
      </c>
      <c r="L7">
        <f t="shared" si="1"/>
        <v>3</v>
      </c>
    </row>
    <row r="8" spans="2:12" x14ac:dyDescent="0.75">
      <c r="B8">
        <v>1</v>
      </c>
      <c r="C8">
        <v>3</v>
      </c>
      <c r="E8">
        <v>1</v>
      </c>
      <c r="F8">
        <v>2</v>
      </c>
      <c r="I8" s="7">
        <v>4</v>
      </c>
      <c r="J8">
        <v>4</v>
      </c>
      <c r="K8">
        <f t="shared" si="0"/>
        <v>4</v>
      </c>
      <c r="L8">
        <f t="shared" si="1"/>
        <v>1</v>
      </c>
    </row>
    <row r="9" spans="2:12" x14ac:dyDescent="0.75">
      <c r="B9">
        <v>1</v>
      </c>
      <c r="C9">
        <v>5</v>
      </c>
      <c r="E9">
        <v>1</v>
      </c>
      <c r="F9">
        <v>1</v>
      </c>
      <c r="I9" s="7">
        <v>5</v>
      </c>
      <c r="J9">
        <v>5</v>
      </c>
      <c r="K9">
        <f t="shared" si="0"/>
        <v>7</v>
      </c>
      <c r="L9">
        <f t="shared" si="1"/>
        <v>0</v>
      </c>
    </row>
    <row r="10" spans="2:12" x14ac:dyDescent="0.75">
      <c r="B10">
        <v>1</v>
      </c>
      <c r="C10">
        <v>4</v>
      </c>
      <c r="E10">
        <v>1</v>
      </c>
      <c r="F10">
        <v>1</v>
      </c>
      <c r="I10" s="7">
        <v>6</v>
      </c>
      <c r="J10">
        <v>6</v>
      </c>
      <c r="K10">
        <f t="shared" si="0"/>
        <v>1</v>
      </c>
      <c r="L10">
        <f t="shared" si="1"/>
        <v>0</v>
      </c>
    </row>
    <row r="11" spans="2:12" x14ac:dyDescent="0.75">
      <c r="B11">
        <v>1</v>
      </c>
      <c r="C11">
        <v>5</v>
      </c>
      <c r="E11">
        <v>1</v>
      </c>
      <c r="F11">
        <v>4</v>
      </c>
      <c r="I11" s="7" t="s">
        <v>111</v>
      </c>
      <c r="J11">
        <v>7</v>
      </c>
      <c r="K11">
        <f t="shared" si="0"/>
        <v>0</v>
      </c>
      <c r="L11">
        <f t="shared" si="1"/>
        <v>0</v>
      </c>
    </row>
    <row r="12" spans="2:12" x14ac:dyDescent="0.75">
      <c r="B12">
        <v>1</v>
      </c>
      <c r="C12">
        <v>5</v>
      </c>
      <c r="E12">
        <v>1</v>
      </c>
      <c r="F12">
        <v>2</v>
      </c>
    </row>
    <row r="13" spans="2:12" x14ac:dyDescent="0.75">
      <c r="B13">
        <v>1</v>
      </c>
      <c r="C13">
        <v>3</v>
      </c>
      <c r="E13">
        <v>1</v>
      </c>
      <c r="F13">
        <v>2</v>
      </c>
    </row>
    <row r="14" spans="2:12" x14ac:dyDescent="0.75">
      <c r="B14">
        <v>1</v>
      </c>
      <c r="C14">
        <v>3</v>
      </c>
      <c r="E14">
        <v>1</v>
      </c>
      <c r="F14">
        <v>3</v>
      </c>
    </row>
    <row r="15" spans="2:12" x14ac:dyDescent="0.75">
      <c r="B15">
        <v>1</v>
      </c>
      <c r="C15">
        <v>1</v>
      </c>
      <c r="E15">
        <v>1</v>
      </c>
      <c r="F15">
        <v>3</v>
      </c>
    </row>
    <row r="16" spans="2:12" x14ac:dyDescent="0.75">
      <c r="B16">
        <v>1</v>
      </c>
      <c r="C16">
        <v>5</v>
      </c>
      <c r="E16">
        <v>1</v>
      </c>
      <c r="F16">
        <v>3</v>
      </c>
    </row>
    <row r="17" spans="2:6" x14ac:dyDescent="0.75">
      <c r="B17">
        <v>1</v>
      </c>
      <c r="C17">
        <v>4</v>
      </c>
      <c r="E17">
        <v>1</v>
      </c>
      <c r="F17">
        <v>1</v>
      </c>
    </row>
    <row r="18" spans="2:6" x14ac:dyDescent="0.75">
      <c r="B18">
        <v>1</v>
      </c>
      <c r="C18">
        <v>2</v>
      </c>
      <c r="E18">
        <v>1</v>
      </c>
      <c r="F18">
        <v>1</v>
      </c>
    </row>
    <row r="19" spans="2:6" x14ac:dyDescent="0.75">
      <c r="B19">
        <v>1</v>
      </c>
      <c r="C19">
        <v>4</v>
      </c>
      <c r="E19">
        <v>1</v>
      </c>
      <c r="F19">
        <v>1</v>
      </c>
    </row>
    <row r="20" spans="2:6" x14ac:dyDescent="0.75">
      <c r="B20">
        <v>1</v>
      </c>
      <c r="C20">
        <v>5</v>
      </c>
      <c r="E20">
        <v>1</v>
      </c>
      <c r="F20">
        <v>1</v>
      </c>
    </row>
    <row r="21" spans="2:6" x14ac:dyDescent="0.75">
      <c r="B21">
        <v>1</v>
      </c>
      <c r="C21">
        <v>2</v>
      </c>
      <c r="E21">
        <v>1</v>
      </c>
      <c r="F21">
        <v>1</v>
      </c>
    </row>
    <row r="22" spans="2:6" x14ac:dyDescent="0.75">
      <c r="B22">
        <v>1</v>
      </c>
      <c r="C22">
        <v>3</v>
      </c>
    </row>
    <row r="23" spans="2:6" x14ac:dyDescent="0.75">
      <c r="B23">
        <v>1</v>
      </c>
      <c r="C23">
        <v>1</v>
      </c>
    </row>
    <row r="24" spans="2:6" x14ac:dyDescent="0.75">
      <c r="B24">
        <v>1</v>
      </c>
      <c r="C24">
        <v>3</v>
      </c>
    </row>
    <row r="25" spans="2:6" x14ac:dyDescent="0.75">
      <c r="B25">
        <v>1</v>
      </c>
      <c r="C25">
        <v>6</v>
      </c>
    </row>
    <row r="26" spans="2:6" x14ac:dyDescent="0.75">
      <c r="B26">
        <v>1</v>
      </c>
      <c r="C26">
        <v>3</v>
      </c>
    </row>
    <row r="27" spans="2:6" x14ac:dyDescent="0.75">
      <c r="B27">
        <v>1</v>
      </c>
      <c r="C27">
        <v>5</v>
      </c>
    </row>
  </sheetData>
  <sortState xmlns:xlrd2="http://schemas.microsoft.com/office/spreadsheetml/2017/richdata2" ref="E6:F64">
    <sortCondition descending="1" ref="E6:E6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F91A2-2C20-4A1D-974B-A01EE3A10B26}">
  <dimension ref="B1:V75"/>
  <sheetViews>
    <sheetView workbookViewId="0">
      <selection activeCell="B1" sqref="B1"/>
    </sheetView>
  </sheetViews>
  <sheetFormatPr defaultRowHeight="14.75" x14ac:dyDescent="0.75"/>
  <cols>
    <col min="9" max="9" width="11.6796875" bestFit="1" customWidth="1"/>
    <col min="14" max="14" width="11.6796875" bestFit="1" customWidth="1"/>
    <col min="18" max="18" width="11.6796875" bestFit="1" customWidth="1"/>
    <col min="19" max="19" width="12.5" customWidth="1"/>
    <col min="20" max="20" width="12.04296875" customWidth="1"/>
    <col min="21" max="21" width="12.2265625" bestFit="1" customWidth="1"/>
    <col min="22" max="22" width="12.453125" bestFit="1" customWidth="1"/>
  </cols>
  <sheetData>
    <row r="1" spans="2:22" x14ac:dyDescent="0.75">
      <c r="B1" s="8" t="s">
        <v>169</v>
      </c>
    </row>
    <row r="2" spans="2:22" x14ac:dyDescent="0.75">
      <c r="B2" s="8" t="s">
        <v>170</v>
      </c>
    </row>
    <row r="3" spans="2:22" x14ac:dyDescent="0.75">
      <c r="B3" s="8" t="s">
        <v>172</v>
      </c>
    </row>
    <row r="7" spans="2:22" x14ac:dyDescent="0.75">
      <c r="I7" t="s">
        <v>171</v>
      </c>
      <c r="N7" t="s">
        <v>171</v>
      </c>
    </row>
    <row r="8" spans="2:22" x14ac:dyDescent="0.75">
      <c r="D8" t="s">
        <v>168</v>
      </c>
      <c r="E8" s="2">
        <f>TTEST(E13:E18,E19:E26,2,2)</f>
        <v>0.32676276123104309</v>
      </c>
      <c r="I8">
        <f>TTEST(K13:K26,K27:K49,2,3)</f>
        <v>1.5570937717118406E-7</v>
      </c>
      <c r="N8">
        <f>TTEST(P13:P33,P34:P55,2,3)</f>
        <v>2.3842829197761414E-2</v>
      </c>
    </row>
    <row r="9" spans="2:22" x14ac:dyDescent="0.75">
      <c r="E9" s="2"/>
      <c r="I9">
        <f>TTEST(K13:K26,K50:K71,2,3)</f>
        <v>7.8076959634383938E-9</v>
      </c>
      <c r="K9" s="2">
        <f>AVERAGE(K13:K26)</f>
        <v>6.4285714285714288</v>
      </c>
      <c r="N9">
        <f>TTEST(P13:P33,P56:P71,2,3)</f>
        <v>2.9372350525122867E-5</v>
      </c>
      <c r="P9" s="2">
        <f>AVERAGE(P13:P33)</f>
        <v>4</v>
      </c>
    </row>
    <row r="10" spans="2:22" x14ac:dyDescent="0.75">
      <c r="B10" t="s">
        <v>128</v>
      </c>
      <c r="E10" s="2">
        <f>AVERAGE(E13:E18)</f>
        <v>6.666666666666667</v>
      </c>
      <c r="I10" s="2">
        <f>TTEST(K27:K49,K50:K71,2,3)</f>
        <v>0.1192895851211896</v>
      </c>
      <c r="K10" s="2">
        <f>AVERAGE(K27:K49)</f>
        <v>4.3043478260869561</v>
      </c>
      <c r="N10">
        <f>TTEST(P34:P55,P56:P71,2,3)</f>
        <v>2.1872366851815833E-3</v>
      </c>
      <c r="P10" s="2">
        <f>AVERAGE(P34:P55)</f>
        <v>2.9090909090909092</v>
      </c>
    </row>
    <row r="11" spans="2:22" x14ac:dyDescent="0.75">
      <c r="E11" s="2">
        <f>AVERAGE(E19:E26)</f>
        <v>6.25</v>
      </c>
      <c r="K11" s="2">
        <f>AVERAGE(K50:K71)</f>
        <v>3.6818181818181817</v>
      </c>
      <c r="P11" s="2">
        <f>AVERAGE(P56:P71)</f>
        <v>1.75</v>
      </c>
    </row>
    <row r="12" spans="2:22" x14ac:dyDescent="0.75">
      <c r="B12" t="s">
        <v>140</v>
      </c>
      <c r="C12" t="s">
        <v>122</v>
      </c>
      <c r="D12" t="s">
        <v>129</v>
      </c>
      <c r="E12" s="3" t="s">
        <v>125</v>
      </c>
      <c r="H12" s="3" t="s">
        <v>127</v>
      </c>
      <c r="I12" s="3" t="s">
        <v>123</v>
      </c>
      <c r="J12" s="3" t="s">
        <v>124</v>
      </c>
      <c r="K12" s="3" t="s">
        <v>125</v>
      </c>
      <c r="M12" s="3" t="s">
        <v>127</v>
      </c>
      <c r="N12" s="3" t="s">
        <v>123</v>
      </c>
      <c r="O12" s="3" t="s">
        <v>124</v>
      </c>
      <c r="P12" s="3" t="s">
        <v>126</v>
      </c>
      <c r="R12">
        <f>TTEST(K50:K71,P13:P33,2,3)</f>
        <v>0.52049877900777497</v>
      </c>
      <c r="S12" s="7" t="s">
        <v>173</v>
      </c>
    </row>
    <row r="13" spans="2:22" x14ac:dyDescent="0.75">
      <c r="B13">
        <v>1</v>
      </c>
      <c r="C13">
        <v>1</v>
      </c>
      <c r="D13">
        <v>0</v>
      </c>
      <c r="E13">
        <v>6</v>
      </c>
      <c r="H13">
        <v>1</v>
      </c>
      <c r="I13">
        <v>0</v>
      </c>
      <c r="J13">
        <v>0</v>
      </c>
      <c r="K13">
        <v>6</v>
      </c>
      <c r="M13">
        <v>1</v>
      </c>
      <c r="N13">
        <v>0</v>
      </c>
      <c r="O13">
        <v>0</v>
      </c>
      <c r="P13">
        <v>5</v>
      </c>
    </row>
    <row r="14" spans="2:22" x14ac:dyDescent="0.75">
      <c r="B14">
        <v>1</v>
      </c>
      <c r="C14">
        <v>1</v>
      </c>
      <c r="D14">
        <v>0</v>
      </c>
      <c r="E14">
        <v>7</v>
      </c>
      <c r="H14">
        <v>1</v>
      </c>
      <c r="I14">
        <v>0</v>
      </c>
      <c r="J14">
        <v>0</v>
      </c>
      <c r="K14">
        <v>6</v>
      </c>
      <c r="M14">
        <v>1</v>
      </c>
      <c r="N14">
        <v>0</v>
      </c>
      <c r="O14">
        <v>0</v>
      </c>
      <c r="P14">
        <v>6</v>
      </c>
    </row>
    <row r="15" spans="2:22" x14ac:dyDescent="0.75">
      <c r="B15">
        <v>1</v>
      </c>
      <c r="C15">
        <v>1</v>
      </c>
      <c r="D15">
        <v>0</v>
      </c>
      <c r="E15">
        <v>7</v>
      </c>
      <c r="H15">
        <v>1</v>
      </c>
      <c r="I15">
        <v>0</v>
      </c>
      <c r="J15">
        <v>0</v>
      </c>
      <c r="K15">
        <v>5</v>
      </c>
      <c r="M15">
        <v>1</v>
      </c>
      <c r="N15">
        <v>0</v>
      </c>
      <c r="O15">
        <v>0</v>
      </c>
      <c r="P15">
        <v>7</v>
      </c>
      <c r="S15" t="s">
        <v>145</v>
      </c>
      <c r="T15" t="s">
        <v>144</v>
      </c>
      <c r="U15" t="s">
        <v>149</v>
      </c>
      <c r="V15" t="s">
        <v>150</v>
      </c>
    </row>
    <row r="16" spans="2:22" x14ac:dyDescent="0.75">
      <c r="B16">
        <v>1</v>
      </c>
      <c r="C16">
        <v>1</v>
      </c>
      <c r="D16">
        <v>0</v>
      </c>
      <c r="E16">
        <v>6</v>
      </c>
      <c r="H16">
        <v>1</v>
      </c>
      <c r="I16">
        <v>0</v>
      </c>
      <c r="J16">
        <v>0</v>
      </c>
      <c r="K16">
        <v>7</v>
      </c>
      <c r="M16">
        <v>1</v>
      </c>
      <c r="N16">
        <v>0</v>
      </c>
      <c r="O16">
        <v>0</v>
      </c>
      <c r="P16">
        <v>4</v>
      </c>
      <c r="R16" t="s">
        <v>146</v>
      </c>
      <c r="S16" s="2">
        <f>AVERAGE(K13:K26)</f>
        <v>6.4285714285714288</v>
      </c>
      <c r="T16" s="2">
        <f>AVERAGE(P13:P33)</f>
        <v>4</v>
      </c>
      <c r="U16" s="2">
        <f>STDEV(K13:K26)/SQRT(COUNT(K13:K26))</f>
        <v>0.20203050891044239</v>
      </c>
      <c r="V16" s="2">
        <f>STDEV(P13:P33)/SQRT(COUNT(P13:P33))</f>
        <v>0.39036002917941326</v>
      </c>
    </row>
    <row r="17" spans="2:22" x14ac:dyDescent="0.75">
      <c r="B17">
        <v>1</v>
      </c>
      <c r="C17">
        <v>1</v>
      </c>
      <c r="D17">
        <v>0</v>
      </c>
      <c r="E17">
        <v>7</v>
      </c>
      <c r="H17">
        <v>1</v>
      </c>
      <c r="I17">
        <v>0</v>
      </c>
      <c r="J17">
        <v>0</v>
      </c>
      <c r="K17">
        <v>7</v>
      </c>
      <c r="M17">
        <v>1</v>
      </c>
      <c r="N17">
        <v>0</v>
      </c>
      <c r="O17">
        <v>0</v>
      </c>
      <c r="P17">
        <v>6</v>
      </c>
      <c r="R17" t="s">
        <v>147</v>
      </c>
      <c r="S17" s="2">
        <f>AVERAGE(K27:K49)</f>
        <v>4.3043478260869561</v>
      </c>
      <c r="T17" s="2">
        <f>AVERAGE(P34:P55)</f>
        <v>2.9090909090909092</v>
      </c>
      <c r="U17" s="2">
        <f>STDEV(K27:K49)/SQRT(COUNT(K27:K49))</f>
        <v>0.25487176197871164</v>
      </c>
      <c r="V17" s="2">
        <f>STDEV(P34:P55)/SQRT(COUNT(P34:P55))</f>
        <v>0.24538238477521016</v>
      </c>
    </row>
    <row r="18" spans="2:22" x14ac:dyDescent="0.75">
      <c r="B18">
        <v>1</v>
      </c>
      <c r="C18">
        <v>1</v>
      </c>
      <c r="D18">
        <v>0</v>
      </c>
      <c r="E18">
        <v>7</v>
      </c>
      <c r="H18">
        <v>1</v>
      </c>
      <c r="I18">
        <v>0</v>
      </c>
      <c r="J18">
        <v>0</v>
      </c>
      <c r="K18">
        <v>5</v>
      </c>
      <c r="M18">
        <v>1</v>
      </c>
      <c r="N18">
        <v>0</v>
      </c>
      <c r="O18">
        <v>0</v>
      </c>
      <c r="P18">
        <v>3</v>
      </c>
      <c r="R18" t="s">
        <v>148</v>
      </c>
      <c r="S18" s="2">
        <f>AVERAGE(K50:K71)</f>
        <v>3.6818181818181817</v>
      </c>
      <c r="T18">
        <f>AVERAGE(P56:P71)</f>
        <v>1.75</v>
      </c>
      <c r="U18" s="2">
        <f>STDEV(K50:K71)/SQRT(COUNT(K50:K71))</f>
        <v>0.29707348658955507</v>
      </c>
      <c r="V18" s="2">
        <f>STDEV(P56:P71)/SQRT(COUNT(P56:P71))</f>
        <v>0.25</v>
      </c>
    </row>
    <row r="19" spans="2:22" x14ac:dyDescent="0.75">
      <c r="B19">
        <v>1</v>
      </c>
      <c r="C19">
        <v>0</v>
      </c>
      <c r="D19">
        <v>1</v>
      </c>
      <c r="E19">
        <v>6</v>
      </c>
      <c r="H19">
        <v>1</v>
      </c>
      <c r="I19">
        <v>0</v>
      </c>
      <c r="J19">
        <v>0</v>
      </c>
      <c r="K19">
        <v>7</v>
      </c>
      <c r="M19">
        <v>1</v>
      </c>
      <c r="N19">
        <v>0</v>
      </c>
      <c r="O19">
        <v>0</v>
      </c>
      <c r="P19">
        <v>3</v>
      </c>
    </row>
    <row r="20" spans="2:22" x14ac:dyDescent="0.75">
      <c r="B20">
        <v>1</v>
      </c>
      <c r="C20">
        <v>0</v>
      </c>
      <c r="D20">
        <v>1</v>
      </c>
      <c r="E20">
        <v>5</v>
      </c>
      <c r="H20">
        <v>1</v>
      </c>
      <c r="I20">
        <v>0</v>
      </c>
      <c r="J20">
        <v>0</v>
      </c>
      <c r="K20">
        <v>6</v>
      </c>
      <c r="M20">
        <v>1</v>
      </c>
      <c r="N20">
        <v>0</v>
      </c>
      <c r="O20">
        <v>0</v>
      </c>
      <c r="P20">
        <v>4</v>
      </c>
    </row>
    <row r="21" spans="2:22" x14ac:dyDescent="0.75">
      <c r="B21">
        <v>1</v>
      </c>
      <c r="C21">
        <v>0</v>
      </c>
      <c r="D21">
        <v>1</v>
      </c>
      <c r="E21">
        <v>7</v>
      </c>
      <c r="H21">
        <v>1</v>
      </c>
      <c r="I21">
        <v>0</v>
      </c>
      <c r="J21">
        <v>0</v>
      </c>
      <c r="K21">
        <v>7</v>
      </c>
      <c r="M21">
        <v>1</v>
      </c>
      <c r="N21">
        <v>0</v>
      </c>
      <c r="O21">
        <v>0</v>
      </c>
      <c r="P21">
        <v>6</v>
      </c>
    </row>
    <row r="22" spans="2:22" x14ac:dyDescent="0.75">
      <c r="B22">
        <v>1</v>
      </c>
      <c r="C22">
        <v>0</v>
      </c>
      <c r="D22">
        <v>1</v>
      </c>
      <c r="E22">
        <v>5</v>
      </c>
      <c r="H22">
        <v>1</v>
      </c>
      <c r="I22">
        <v>0</v>
      </c>
      <c r="J22">
        <v>0</v>
      </c>
      <c r="K22">
        <v>7</v>
      </c>
      <c r="M22">
        <v>1</v>
      </c>
      <c r="N22">
        <v>0</v>
      </c>
      <c r="O22">
        <v>0</v>
      </c>
      <c r="P22">
        <v>6</v>
      </c>
    </row>
    <row r="23" spans="2:22" x14ac:dyDescent="0.75">
      <c r="B23">
        <v>1</v>
      </c>
      <c r="C23">
        <v>0</v>
      </c>
      <c r="D23">
        <v>1</v>
      </c>
      <c r="E23">
        <v>7</v>
      </c>
      <c r="H23">
        <v>1</v>
      </c>
      <c r="I23">
        <v>0</v>
      </c>
      <c r="J23">
        <v>0</v>
      </c>
      <c r="K23">
        <v>7</v>
      </c>
      <c r="M23">
        <v>1</v>
      </c>
      <c r="N23">
        <v>0</v>
      </c>
      <c r="O23">
        <v>0</v>
      </c>
      <c r="P23">
        <v>5</v>
      </c>
    </row>
    <row r="24" spans="2:22" x14ac:dyDescent="0.75">
      <c r="B24">
        <v>1</v>
      </c>
      <c r="C24">
        <v>0</v>
      </c>
      <c r="D24">
        <v>1</v>
      </c>
      <c r="E24">
        <v>7</v>
      </c>
      <c r="H24">
        <v>1</v>
      </c>
      <c r="I24">
        <v>0</v>
      </c>
      <c r="J24">
        <v>0</v>
      </c>
      <c r="K24">
        <v>7</v>
      </c>
      <c r="M24">
        <v>1</v>
      </c>
      <c r="N24">
        <v>0</v>
      </c>
      <c r="O24">
        <v>0</v>
      </c>
      <c r="P24">
        <v>1</v>
      </c>
    </row>
    <row r="25" spans="2:22" x14ac:dyDescent="0.75">
      <c r="B25">
        <v>1</v>
      </c>
      <c r="C25">
        <v>0</v>
      </c>
      <c r="D25">
        <v>1</v>
      </c>
      <c r="E25">
        <v>6</v>
      </c>
      <c r="H25">
        <v>1</v>
      </c>
      <c r="I25">
        <v>0</v>
      </c>
      <c r="J25">
        <v>0</v>
      </c>
      <c r="K25">
        <v>6</v>
      </c>
      <c r="M25">
        <v>1</v>
      </c>
      <c r="N25">
        <v>0</v>
      </c>
      <c r="O25">
        <v>0</v>
      </c>
      <c r="P25">
        <v>4</v>
      </c>
    </row>
    <row r="26" spans="2:22" x14ac:dyDescent="0.75">
      <c r="B26">
        <v>1</v>
      </c>
      <c r="C26">
        <v>0</v>
      </c>
      <c r="D26">
        <v>1</v>
      </c>
      <c r="E26">
        <v>7</v>
      </c>
      <c r="H26">
        <v>1</v>
      </c>
      <c r="I26">
        <v>0</v>
      </c>
      <c r="J26">
        <v>0</v>
      </c>
      <c r="K26">
        <v>7</v>
      </c>
      <c r="M26">
        <v>1</v>
      </c>
      <c r="N26">
        <v>0</v>
      </c>
      <c r="O26">
        <v>0</v>
      </c>
      <c r="P26">
        <v>1</v>
      </c>
    </row>
    <row r="27" spans="2:22" x14ac:dyDescent="0.75">
      <c r="B27">
        <v>0</v>
      </c>
      <c r="C27">
        <v>1</v>
      </c>
      <c r="D27">
        <v>0</v>
      </c>
      <c r="E27">
        <v>4</v>
      </c>
      <c r="H27">
        <v>0</v>
      </c>
      <c r="I27">
        <v>1</v>
      </c>
      <c r="J27">
        <v>0</v>
      </c>
      <c r="K27">
        <v>4</v>
      </c>
      <c r="M27">
        <v>1</v>
      </c>
      <c r="N27">
        <v>0</v>
      </c>
      <c r="O27">
        <v>0</v>
      </c>
      <c r="P27">
        <v>2</v>
      </c>
    </row>
    <row r="28" spans="2:22" x14ac:dyDescent="0.75">
      <c r="B28">
        <v>0</v>
      </c>
      <c r="C28">
        <v>1</v>
      </c>
      <c r="D28">
        <v>0</v>
      </c>
      <c r="E28">
        <v>6</v>
      </c>
      <c r="H28">
        <v>0</v>
      </c>
      <c r="I28">
        <v>1</v>
      </c>
      <c r="J28">
        <v>0</v>
      </c>
      <c r="K28">
        <v>6</v>
      </c>
      <c r="M28">
        <v>1</v>
      </c>
      <c r="N28">
        <v>0</v>
      </c>
      <c r="O28">
        <v>0</v>
      </c>
      <c r="P28">
        <v>5</v>
      </c>
    </row>
    <row r="29" spans="2:22" x14ac:dyDescent="0.75">
      <c r="B29">
        <v>0</v>
      </c>
      <c r="C29">
        <v>1</v>
      </c>
      <c r="D29">
        <v>0</v>
      </c>
      <c r="E29">
        <v>3</v>
      </c>
      <c r="H29">
        <v>0</v>
      </c>
      <c r="I29">
        <v>1</v>
      </c>
      <c r="J29">
        <v>0</v>
      </c>
      <c r="K29">
        <v>4</v>
      </c>
      <c r="M29">
        <v>1</v>
      </c>
      <c r="N29">
        <v>0</v>
      </c>
      <c r="O29">
        <v>0</v>
      </c>
      <c r="P29">
        <v>4</v>
      </c>
    </row>
    <row r="30" spans="2:22" x14ac:dyDescent="0.75">
      <c r="B30">
        <v>0</v>
      </c>
      <c r="C30">
        <v>1</v>
      </c>
      <c r="D30">
        <v>0</v>
      </c>
      <c r="E30">
        <v>5</v>
      </c>
      <c r="H30">
        <v>0</v>
      </c>
      <c r="I30">
        <v>1</v>
      </c>
      <c r="J30">
        <v>0</v>
      </c>
      <c r="K30">
        <v>3</v>
      </c>
      <c r="M30">
        <v>1</v>
      </c>
      <c r="N30">
        <v>0</v>
      </c>
      <c r="O30">
        <v>0</v>
      </c>
      <c r="P30">
        <v>5</v>
      </c>
    </row>
    <row r="31" spans="2:22" x14ac:dyDescent="0.75">
      <c r="B31">
        <v>0</v>
      </c>
      <c r="C31">
        <v>1</v>
      </c>
      <c r="D31">
        <v>0</v>
      </c>
      <c r="E31">
        <v>5</v>
      </c>
      <c r="H31">
        <v>0</v>
      </c>
      <c r="I31">
        <v>1</v>
      </c>
      <c r="J31">
        <v>0</v>
      </c>
      <c r="K31">
        <v>5</v>
      </c>
      <c r="M31">
        <v>1</v>
      </c>
      <c r="N31">
        <v>0</v>
      </c>
      <c r="O31">
        <v>0</v>
      </c>
      <c r="P31">
        <v>3</v>
      </c>
    </row>
    <row r="32" spans="2:22" x14ac:dyDescent="0.75">
      <c r="B32">
        <v>0</v>
      </c>
      <c r="C32">
        <v>1</v>
      </c>
      <c r="D32">
        <v>0</v>
      </c>
      <c r="E32">
        <v>4</v>
      </c>
      <c r="H32">
        <v>0</v>
      </c>
      <c r="I32">
        <v>1</v>
      </c>
      <c r="J32">
        <v>0</v>
      </c>
      <c r="K32">
        <v>5</v>
      </c>
      <c r="M32">
        <v>1</v>
      </c>
      <c r="N32">
        <v>0</v>
      </c>
      <c r="O32">
        <v>0</v>
      </c>
      <c r="P32">
        <v>1</v>
      </c>
    </row>
    <row r="33" spans="2:16" x14ac:dyDescent="0.75">
      <c r="B33">
        <v>0</v>
      </c>
      <c r="C33">
        <v>1</v>
      </c>
      <c r="D33">
        <v>0</v>
      </c>
      <c r="E33">
        <v>5</v>
      </c>
      <c r="H33">
        <v>0</v>
      </c>
      <c r="I33">
        <v>1</v>
      </c>
      <c r="J33">
        <v>0</v>
      </c>
      <c r="K33">
        <v>2</v>
      </c>
      <c r="M33">
        <v>1</v>
      </c>
      <c r="N33">
        <v>0</v>
      </c>
      <c r="O33">
        <v>0</v>
      </c>
      <c r="P33">
        <v>3</v>
      </c>
    </row>
    <row r="34" spans="2:16" x14ac:dyDescent="0.75">
      <c r="B34">
        <v>0</v>
      </c>
      <c r="C34">
        <v>1</v>
      </c>
      <c r="D34">
        <v>0</v>
      </c>
      <c r="E34">
        <v>5</v>
      </c>
      <c r="H34">
        <v>0</v>
      </c>
      <c r="I34">
        <v>1</v>
      </c>
      <c r="J34">
        <v>0</v>
      </c>
      <c r="K34">
        <v>5</v>
      </c>
      <c r="M34">
        <v>0</v>
      </c>
      <c r="N34">
        <v>1</v>
      </c>
      <c r="O34">
        <v>0</v>
      </c>
      <c r="P34">
        <v>4</v>
      </c>
    </row>
    <row r="35" spans="2:16" x14ac:dyDescent="0.75">
      <c r="B35">
        <v>0</v>
      </c>
      <c r="C35">
        <v>1</v>
      </c>
      <c r="D35">
        <v>0</v>
      </c>
      <c r="E35">
        <v>2</v>
      </c>
      <c r="H35">
        <v>0</v>
      </c>
      <c r="I35">
        <v>1</v>
      </c>
      <c r="J35">
        <v>0</v>
      </c>
      <c r="K35">
        <v>5</v>
      </c>
      <c r="M35">
        <v>0</v>
      </c>
      <c r="N35">
        <v>1</v>
      </c>
      <c r="O35">
        <v>0</v>
      </c>
      <c r="P35">
        <v>5</v>
      </c>
    </row>
    <row r="36" spans="2:16" x14ac:dyDescent="0.75">
      <c r="B36">
        <v>0</v>
      </c>
      <c r="C36">
        <v>1</v>
      </c>
      <c r="D36">
        <v>0</v>
      </c>
      <c r="E36">
        <v>3</v>
      </c>
      <c r="H36">
        <v>0</v>
      </c>
      <c r="I36">
        <v>1</v>
      </c>
      <c r="J36">
        <v>0</v>
      </c>
      <c r="K36">
        <v>5</v>
      </c>
      <c r="M36">
        <v>0</v>
      </c>
      <c r="N36">
        <v>1</v>
      </c>
      <c r="O36">
        <v>0</v>
      </c>
      <c r="P36">
        <v>2</v>
      </c>
    </row>
    <row r="37" spans="2:16" x14ac:dyDescent="0.75">
      <c r="B37">
        <v>0</v>
      </c>
      <c r="C37">
        <v>1</v>
      </c>
      <c r="D37">
        <v>0</v>
      </c>
      <c r="E37">
        <v>5</v>
      </c>
      <c r="H37">
        <v>0</v>
      </c>
      <c r="I37">
        <v>1</v>
      </c>
      <c r="J37">
        <v>0</v>
      </c>
      <c r="K37">
        <v>5</v>
      </c>
      <c r="M37">
        <v>0</v>
      </c>
      <c r="N37">
        <v>1</v>
      </c>
      <c r="O37">
        <v>0</v>
      </c>
      <c r="P37">
        <v>4</v>
      </c>
    </row>
    <row r="38" spans="2:16" x14ac:dyDescent="0.75">
      <c r="B38">
        <v>0</v>
      </c>
      <c r="C38">
        <v>1</v>
      </c>
      <c r="D38">
        <v>0</v>
      </c>
      <c r="E38">
        <v>3</v>
      </c>
      <c r="H38">
        <v>0</v>
      </c>
      <c r="I38">
        <v>1</v>
      </c>
      <c r="J38">
        <v>0</v>
      </c>
      <c r="K38">
        <v>5</v>
      </c>
      <c r="M38">
        <v>0</v>
      </c>
      <c r="N38">
        <v>1</v>
      </c>
      <c r="O38">
        <v>0</v>
      </c>
      <c r="P38">
        <v>3</v>
      </c>
    </row>
    <row r="39" spans="2:16" x14ac:dyDescent="0.75">
      <c r="B39">
        <v>0</v>
      </c>
      <c r="C39">
        <v>1</v>
      </c>
      <c r="D39">
        <v>0</v>
      </c>
      <c r="E39">
        <v>5</v>
      </c>
      <c r="H39">
        <v>0</v>
      </c>
      <c r="I39">
        <v>1</v>
      </c>
      <c r="J39">
        <v>0</v>
      </c>
      <c r="K39">
        <v>5</v>
      </c>
      <c r="M39">
        <v>0</v>
      </c>
      <c r="N39">
        <v>1</v>
      </c>
      <c r="O39">
        <v>0</v>
      </c>
      <c r="P39">
        <v>1</v>
      </c>
    </row>
    <row r="40" spans="2:16" x14ac:dyDescent="0.75">
      <c r="B40">
        <v>0</v>
      </c>
      <c r="C40">
        <v>1</v>
      </c>
      <c r="D40">
        <v>0</v>
      </c>
      <c r="E40">
        <v>5</v>
      </c>
      <c r="H40">
        <v>0</v>
      </c>
      <c r="I40">
        <v>1</v>
      </c>
      <c r="J40">
        <v>0</v>
      </c>
      <c r="K40">
        <v>3</v>
      </c>
      <c r="M40">
        <v>0</v>
      </c>
      <c r="N40">
        <v>1</v>
      </c>
      <c r="O40">
        <v>0</v>
      </c>
      <c r="P40">
        <v>3</v>
      </c>
    </row>
    <row r="41" spans="2:16" x14ac:dyDescent="0.75">
      <c r="B41">
        <v>0</v>
      </c>
      <c r="C41">
        <v>1</v>
      </c>
      <c r="D41">
        <v>0</v>
      </c>
      <c r="E41">
        <v>2</v>
      </c>
      <c r="H41">
        <v>0</v>
      </c>
      <c r="I41">
        <v>1</v>
      </c>
      <c r="J41">
        <v>0</v>
      </c>
      <c r="K41">
        <v>4</v>
      </c>
      <c r="M41">
        <v>0</v>
      </c>
      <c r="N41">
        <v>1</v>
      </c>
      <c r="O41">
        <v>0</v>
      </c>
      <c r="P41">
        <v>3</v>
      </c>
    </row>
    <row r="42" spans="2:16" x14ac:dyDescent="0.75">
      <c r="B42">
        <v>0</v>
      </c>
      <c r="C42">
        <v>1</v>
      </c>
      <c r="D42">
        <v>0</v>
      </c>
      <c r="E42">
        <v>5</v>
      </c>
      <c r="H42">
        <v>0</v>
      </c>
      <c r="I42">
        <v>1</v>
      </c>
      <c r="J42">
        <v>0</v>
      </c>
      <c r="K42">
        <v>1</v>
      </c>
      <c r="M42">
        <v>0</v>
      </c>
      <c r="N42">
        <v>1</v>
      </c>
      <c r="O42">
        <v>0</v>
      </c>
      <c r="P42">
        <v>2</v>
      </c>
    </row>
    <row r="43" spans="2:16" x14ac:dyDescent="0.75">
      <c r="B43">
        <v>0</v>
      </c>
      <c r="C43">
        <v>1</v>
      </c>
      <c r="D43">
        <v>0</v>
      </c>
      <c r="E43">
        <v>1</v>
      </c>
      <c r="H43">
        <v>0</v>
      </c>
      <c r="I43">
        <v>1</v>
      </c>
      <c r="J43">
        <v>0</v>
      </c>
      <c r="K43">
        <v>5</v>
      </c>
      <c r="M43">
        <v>0</v>
      </c>
      <c r="N43">
        <v>1</v>
      </c>
      <c r="O43">
        <v>0</v>
      </c>
      <c r="P43">
        <v>3</v>
      </c>
    </row>
    <row r="44" spans="2:16" x14ac:dyDescent="0.75">
      <c r="B44">
        <v>0</v>
      </c>
      <c r="C44">
        <v>1</v>
      </c>
      <c r="D44">
        <v>0</v>
      </c>
      <c r="E44">
        <v>3</v>
      </c>
      <c r="H44">
        <v>0</v>
      </c>
      <c r="I44">
        <v>1</v>
      </c>
      <c r="J44">
        <v>0</v>
      </c>
      <c r="K44">
        <v>3</v>
      </c>
      <c r="M44">
        <v>0</v>
      </c>
      <c r="N44">
        <v>1</v>
      </c>
      <c r="O44">
        <v>0</v>
      </c>
      <c r="P44">
        <v>5</v>
      </c>
    </row>
    <row r="45" spans="2:16" x14ac:dyDescent="0.75">
      <c r="B45">
        <v>0</v>
      </c>
      <c r="C45">
        <v>1</v>
      </c>
      <c r="D45">
        <v>0</v>
      </c>
      <c r="E45">
        <v>5</v>
      </c>
      <c r="H45">
        <v>0</v>
      </c>
      <c r="I45">
        <v>1</v>
      </c>
      <c r="J45">
        <v>0</v>
      </c>
      <c r="K45">
        <v>4</v>
      </c>
      <c r="M45">
        <v>0</v>
      </c>
      <c r="N45">
        <v>1</v>
      </c>
      <c r="O45">
        <v>0</v>
      </c>
      <c r="P45">
        <v>1</v>
      </c>
    </row>
    <row r="46" spans="2:16" x14ac:dyDescent="0.75">
      <c r="B46">
        <v>0</v>
      </c>
      <c r="C46">
        <v>1</v>
      </c>
      <c r="D46">
        <v>0</v>
      </c>
      <c r="E46">
        <v>3</v>
      </c>
      <c r="H46">
        <v>0</v>
      </c>
      <c r="I46">
        <v>1</v>
      </c>
      <c r="J46">
        <v>0</v>
      </c>
      <c r="K46">
        <v>4</v>
      </c>
      <c r="M46">
        <v>0</v>
      </c>
      <c r="N46">
        <v>1</v>
      </c>
      <c r="O46">
        <v>0</v>
      </c>
      <c r="P46">
        <v>4</v>
      </c>
    </row>
    <row r="47" spans="2:16" x14ac:dyDescent="0.75">
      <c r="B47">
        <v>0</v>
      </c>
      <c r="C47">
        <v>1</v>
      </c>
      <c r="D47">
        <v>0</v>
      </c>
      <c r="E47">
        <v>1</v>
      </c>
      <c r="H47">
        <v>0</v>
      </c>
      <c r="I47">
        <v>1</v>
      </c>
      <c r="J47">
        <v>0</v>
      </c>
      <c r="K47">
        <v>5</v>
      </c>
      <c r="M47">
        <v>0</v>
      </c>
      <c r="N47">
        <v>1</v>
      </c>
      <c r="O47">
        <v>0</v>
      </c>
      <c r="P47">
        <v>2</v>
      </c>
    </row>
    <row r="48" spans="2:16" x14ac:dyDescent="0.75">
      <c r="B48">
        <v>0</v>
      </c>
      <c r="C48">
        <v>1</v>
      </c>
      <c r="D48">
        <v>0</v>
      </c>
      <c r="E48">
        <v>5</v>
      </c>
      <c r="H48">
        <v>0</v>
      </c>
      <c r="I48">
        <v>1</v>
      </c>
      <c r="J48">
        <v>0</v>
      </c>
      <c r="K48">
        <v>6</v>
      </c>
      <c r="M48">
        <v>0</v>
      </c>
      <c r="N48">
        <v>1</v>
      </c>
      <c r="O48">
        <v>0</v>
      </c>
      <c r="P48">
        <v>3</v>
      </c>
    </row>
    <row r="49" spans="2:16" x14ac:dyDescent="0.75">
      <c r="B49">
        <v>0</v>
      </c>
      <c r="C49">
        <v>1</v>
      </c>
      <c r="D49">
        <v>0</v>
      </c>
      <c r="E49">
        <v>6</v>
      </c>
      <c r="H49">
        <v>0</v>
      </c>
      <c r="I49">
        <v>1</v>
      </c>
      <c r="J49">
        <v>0</v>
      </c>
      <c r="K49">
        <v>5</v>
      </c>
      <c r="M49">
        <v>0</v>
      </c>
      <c r="N49">
        <v>1</v>
      </c>
      <c r="O49">
        <v>0</v>
      </c>
      <c r="P49">
        <v>3</v>
      </c>
    </row>
    <row r="50" spans="2:16" x14ac:dyDescent="0.75">
      <c r="B50">
        <v>0</v>
      </c>
      <c r="C50">
        <v>1</v>
      </c>
      <c r="D50">
        <v>0</v>
      </c>
      <c r="E50">
        <v>3</v>
      </c>
      <c r="H50">
        <v>0</v>
      </c>
      <c r="I50">
        <v>0</v>
      </c>
      <c r="J50">
        <v>1</v>
      </c>
      <c r="K50">
        <v>4</v>
      </c>
      <c r="M50">
        <v>0</v>
      </c>
      <c r="N50">
        <v>1</v>
      </c>
      <c r="O50">
        <v>0</v>
      </c>
      <c r="P50">
        <v>1</v>
      </c>
    </row>
    <row r="51" spans="2:16" x14ac:dyDescent="0.75">
      <c r="B51">
        <v>0</v>
      </c>
      <c r="C51">
        <v>1</v>
      </c>
      <c r="D51">
        <v>0</v>
      </c>
      <c r="E51">
        <v>5</v>
      </c>
      <c r="H51">
        <v>0</v>
      </c>
      <c r="I51">
        <v>0</v>
      </c>
      <c r="J51">
        <v>1</v>
      </c>
      <c r="K51">
        <v>5</v>
      </c>
      <c r="M51">
        <v>0</v>
      </c>
      <c r="N51">
        <v>1</v>
      </c>
      <c r="O51">
        <v>0</v>
      </c>
      <c r="P51">
        <v>3</v>
      </c>
    </row>
    <row r="52" spans="2:16" x14ac:dyDescent="0.75">
      <c r="B52">
        <v>0</v>
      </c>
      <c r="C52">
        <v>0</v>
      </c>
      <c r="D52">
        <v>1</v>
      </c>
      <c r="E52">
        <v>4</v>
      </c>
      <c r="H52">
        <v>0</v>
      </c>
      <c r="I52">
        <v>0</v>
      </c>
      <c r="J52">
        <v>1</v>
      </c>
      <c r="K52">
        <v>3</v>
      </c>
      <c r="M52">
        <v>0</v>
      </c>
      <c r="N52">
        <v>1</v>
      </c>
      <c r="O52">
        <v>0</v>
      </c>
      <c r="P52">
        <v>3</v>
      </c>
    </row>
    <row r="53" spans="2:16" x14ac:dyDescent="0.75">
      <c r="B53">
        <v>0</v>
      </c>
      <c r="C53">
        <v>0</v>
      </c>
      <c r="D53">
        <v>1</v>
      </c>
      <c r="E53">
        <v>5</v>
      </c>
      <c r="H53">
        <v>0</v>
      </c>
      <c r="I53">
        <v>0</v>
      </c>
      <c r="J53">
        <v>1</v>
      </c>
      <c r="K53">
        <v>5</v>
      </c>
      <c r="M53">
        <v>0</v>
      </c>
      <c r="N53">
        <v>1</v>
      </c>
      <c r="O53">
        <v>0</v>
      </c>
      <c r="P53">
        <v>3</v>
      </c>
    </row>
    <row r="54" spans="2:16" x14ac:dyDescent="0.75">
      <c r="B54">
        <v>0</v>
      </c>
      <c r="C54">
        <v>0</v>
      </c>
      <c r="D54">
        <v>1</v>
      </c>
      <c r="E54">
        <v>4</v>
      </c>
      <c r="H54">
        <v>0</v>
      </c>
      <c r="I54">
        <v>0</v>
      </c>
      <c r="J54">
        <v>1</v>
      </c>
      <c r="K54">
        <v>4</v>
      </c>
      <c r="M54">
        <v>0</v>
      </c>
      <c r="N54">
        <v>1</v>
      </c>
      <c r="O54">
        <v>0</v>
      </c>
      <c r="P54">
        <v>4</v>
      </c>
    </row>
    <row r="55" spans="2:16" x14ac:dyDescent="0.75">
      <c r="B55">
        <v>0</v>
      </c>
      <c r="C55">
        <v>0</v>
      </c>
      <c r="D55">
        <v>1</v>
      </c>
      <c r="E55">
        <v>3</v>
      </c>
      <c r="H55">
        <v>0</v>
      </c>
      <c r="I55">
        <v>0</v>
      </c>
      <c r="J55">
        <v>1</v>
      </c>
      <c r="K55">
        <v>5</v>
      </c>
      <c r="M55">
        <v>0</v>
      </c>
      <c r="N55">
        <v>1</v>
      </c>
      <c r="O55">
        <v>0</v>
      </c>
      <c r="P55">
        <v>2</v>
      </c>
    </row>
    <row r="56" spans="2:16" x14ac:dyDescent="0.75">
      <c r="B56">
        <v>0</v>
      </c>
      <c r="C56">
        <v>0</v>
      </c>
      <c r="D56">
        <v>1</v>
      </c>
      <c r="E56">
        <v>5</v>
      </c>
      <c r="H56">
        <v>0</v>
      </c>
      <c r="I56">
        <v>0</v>
      </c>
      <c r="J56">
        <v>1</v>
      </c>
      <c r="K56">
        <v>5</v>
      </c>
      <c r="M56">
        <v>0</v>
      </c>
      <c r="N56">
        <v>0</v>
      </c>
      <c r="O56">
        <v>1</v>
      </c>
      <c r="P56">
        <v>1</v>
      </c>
    </row>
    <row r="57" spans="2:16" x14ac:dyDescent="0.75">
      <c r="B57">
        <v>0</v>
      </c>
      <c r="C57">
        <v>0</v>
      </c>
      <c r="D57">
        <v>1</v>
      </c>
      <c r="E57">
        <v>5</v>
      </c>
      <c r="H57">
        <v>0</v>
      </c>
      <c r="I57">
        <v>0</v>
      </c>
      <c r="J57">
        <v>1</v>
      </c>
      <c r="K57">
        <v>3</v>
      </c>
      <c r="M57">
        <v>0</v>
      </c>
      <c r="N57">
        <v>0</v>
      </c>
      <c r="O57">
        <v>1</v>
      </c>
      <c r="P57">
        <v>1</v>
      </c>
    </row>
    <row r="58" spans="2:16" x14ac:dyDescent="0.75">
      <c r="B58">
        <v>0</v>
      </c>
      <c r="C58">
        <v>0</v>
      </c>
      <c r="D58">
        <v>1</v>
      </c>
      <c r="E58">
        <v>5</v>
      </c>
      <c r="H58">
        <v>0</v>
      </c>
      <c r="I58">
        <v>0</v>
      </c>
      <c r="J58">
        <v>1</v>
      </c>
      <c r="K58">
        <v>3</v>
      </c>
      <c r="M58">
        <v>0</v>
      </c>
      <c r="N58">
        <v>0</v>
      </c>
      <c r="O58">
        <v>1</v>
      </c>
      <c r="P58">
        <v>2</v>
      </c>
    </row>
    <row r="59" spans="2:16" x14ac:dyDescent="0.75">
      <c r="B59">
        <v>0</v>
      </c>
      <c r="C59">
        <v>0</v>
      </c>
      <c r="D59">
        <v>1</v>
      </c>
      <c r="E59">
        <v>5</v>
      </c>
      <c r="H59">
        <v>0</v>
      </c>
      <c r="I59">
        <v>0</v>
      </c>
      <c r="J59">
        <v>1</v>
      </c>
      <c r="K59">
        <v>1</v>
      </c>
      <c r="M59">
        <v>0</v>
      </c>
      <c r="N59">
        <v>0</v>
      </c>
      <c r="O59">
        <v>1</v>
      </c>
      <c r="P59">
        <v>1</v>
      </c>
    </row>
    <row r="60" spans="2:16" x14ac:dyDescent="0.75">
      <c r="B60">
        <v>0</v>
      </c>
      <c r="C60">
        <v>0</v>
      </c>
      <c r="D60">
        <v>1</v>
      </c>
      <c r="E60">
        <v>1</v>
      </c>
      <c r="H60">
        <v>0</v>
      </c>
      <c r="I60">
        <v>0</v>
      </c>
      <c r="J60">
        <v>1</v>
      </c>
      <c r="K60">
        <v>5</v>
      </c>
      <c r="M60">
        <v>0</v>
      </c>
      <c r="N60">
        <v>0</v>
      </c>
      <c r="O60">
        <v>1</v>
      </c>
      <c r="P60">
        <v>1</v>
      </c>
    </row>
    <row r="61" spans="2:16" x14ac:dyDescent="0.75">
      <c r="B61">
        <v>0</v>
      </c>
      <c r="C61">
        <v>0</v>
      </c>
      <c r="D61">
        <v>1</v>
      </c>
      <c r="E61">
        <v>4</v>
      </c>
      <c r="H61">
        <v>0</v>
      </c>
      <c r="I61">
        <v>0</v>
      </c>
      <c r="J61">
        <v>1</v>
      </c>
      <c r="K61">
        <v>4</v>
      </c>
      <c r="M61">
        <v>0</v>
      </c>
      <c r="N61">
        <v>0</v>
      </c>
      <c r="O61">
        <v>1</v>
      </c>
      <c r="P61">
        <v>4</v>
      </c>
    </row>
    <row r="62" spans="2:16" x14ac:dyDescent="0.75">
      <c r="B62">
        <v>0</v>
      </c>
      <c r="C62">
        <v>0</v>
      </c>
      <c r="D62">
        <v>1</v>
      </c>
      <c r="E62">
        <v>2</v>
      </c>
      <c r="H62">
        <v>0</v>
      </c>
      <c r="I62">
        <v>0</v>
      </c>
      <c r="J62">
        <v>1</v>
      </c>
      <c r="K62">
        <v>2</v>
      </c>
      <c r="M62">
        <v>0</v>
      </c>
      <c r="N62">
        <v>0</v>
      </c>
      <c r="O62">
        <v>1</v>
      </c>
      <c r="P62">
        <v>2</v>
      </c>
    </row>
    <row r="63" spans="2:16" x14ac:dyDescent="0.75">
      <c r="B63">
        <v>0</v>
      </c>
      <c r="C63">
        <v>0</v>
      </c>
      <c r="D63">
        <v>1</v>
      </c>
      <c r="E63">
        <v>4</v>
      </c>
      <c r="H63">
        <v>0</v>
      </c>
      <c r="I63">
        <v>0</v>
      </c>
      <c r="J63">
        <v>1</v>
      </c>
      <c r="K63">
        <v>4</v>
      </c>
      <c r="M63">
        <v>0</v>
      </c>
      <c r="N63">
        <v>0</v>
      </c>
      <c r="O63">
        <v>1</v>
      </c>
      <c r="P63">
        <v>2</v>
      </c>
    </row>
    <row r="64" spans="2:16" x14ac:dyDescent="0.75">
      <c r="B64">
        <v>0</v>
      </c>
      <c r="C64">
        <v>0</v>
      </c>
      <c r="D64">
        <v>1</v>
      </c>
      <c r="E64">
        <v>5</v>
      </c>
      <c r="H64">
        <v>0</v>
      </c>
      <c r="I64">
        <v>0</v>
      </c>
      <c r="J64">
        <v>1</v>
      </c>
      <c r="K64">
        <v>5</v>
      </c>
      <c r="M64">
        <v>0</v>
      </c>
      <c r="N64">
        <v>0</v>
      </c>
      <c r="O64">
        <v>1</v>
      </c>
      <c r="P64">
        <v>3</v>
      </c>
    </row>
    <row r="65" spans="2:16" x14ac:dyDescent="0.75">
      <c r="B65">
        <v>0</v>
      </c>
      <c r="C65">
        <v>0</v>
      </c>
      <c r="D65">
        <v>1</v>
      </c>
      <c r="E65">
        <v>3</v>
      </c>
      <c r="H65">
        <v>0</v>
      </c>
      <c r="I65">
        <v>0</v>
      </c>
      <c r="J65">
        <v>1</v>
      </c>
      <c r="K65">
        <v>2</v>
      </c>
      <c r="M65">
        <v>0</v>
      </c>
      <c r="N65">
        <v>0</v>
      </c>
      <c r="O65">
        <v>1</v>
      </c>
      <c r="P65">
        <v>3</v>
      </c>
    </row>
    <row r="66" spans="2:16" x14ac:dyDescent="0.75">
      <c r="B66">
        <v>0</v>
      </c>
      <c r="C66">
        <v>0</v>
      </c>
      <c r="D66">
        <v>1</v>
      </c>
      <c r="E66">
        <v>4</v>
      </c>
      <c r="H66">
        <v>0</v>
      </c>
      <c r="I66">
        <v>0</v>
      </c>
      <c r="J66">
        <v>1</v>
      </c>
      <c r="K66">
        <v>3</v>
      </c>
      <c r="M66">
        <v>0</v>
      </c>
      <c r="N66">
        <v>0</v>
      </c>
      <c r="O66">
        <v>1</v>
      </c>
      <c r="P66">
        <v>3</v>
      </c>
    </row>
    <row r="67" spans="2:16" x14ac:dyDescent="0.75">
      <c r="B67">
        <v>0</v>
      </c>
      <c r="C67">
        <v>0</v>
      </c>
      <c r="D67">
        <v>1</v>
      </c>
      <c r="E67">
        <v>4</v>
      </c>
      <c r="H67">
        <v>0</v>
      </c>
      <c r="I67">
        <v>0</v>
      </c>
      <c r="J67">
        <v>1</v>
      </c>
      <c r="K67">
        <v>1</v>
      </c>
      <c r="M67">
        <v>0</v>
      </c>
      <c r="N67">
        <v>0</v>
      </c>
      <c r="O67">
        <v>1</v>
      </c>
      <c r="P67">
        <v>1</v>
      </c>
    </row>
    <row r="68" spans="2:16" x14ac:dyDescent="0.75">
      <c r="B68">
        <v>0</v>
      </c>
      <c r="C68">
        <v>0</v>
      </c>
      <c r="D68">
        <v>1</v>
      </c>
      <c r="E68">
        <v>4</v>
      </c>
      <c r="H68">
        <v>0</v>
      </c>
      <c r="I68">
        <v>0</v>
      </c>
      <c r="J68">
        <v>1</v>
      </c>
      <c r="K68">
        <v>3</v>
      </c>
      <c r="M68">
        <v>0</v>
      </c>
      <c r="N68">
        <v>0</v>
      </c>
      <c r="O68">
        <v>1</v>
      </c>
      <c r="P68">
        <v>1</v>
      </c>
    </row>
    <row r="69" spans="2:16" x14ac:dyDescent="0.75">
      <c r="B69">
        <v>0</v>
      </c>
      <c r="C69">
        <v>0</v>
      </c>
      <c r="D69">
        <v>1</v>
      </c>
      <c r="E69">
        <v>3</v>
      </c>
      <c r="H69">
        <v>0</v>
      </c>
      <c r="I69">
        <v>0</v>
      </c>
      <c r="J69">
        <v>1</v>
      </c>
      <c r="K69">
        <v>6</v>
      </c>
      <c r="M69">
        <v>0</v>
      </c>
      <c r="N69">
        <v>0</v>
      </c>
      <c r="O69">
        <v>1</v>
      </c>
      <c r="P69">
        <v>1</v>
      </c>
    </row>
    <row r="70" spans="2:16" x14ac:dyDescent="0.75">
      <c r="B70">
        <v>0</v>
      </c>
      <c r="C70">
        <v>0</v>
      </c>
      <c r="D70">
        <v>1</v>
      </c>
      <c r="E70">
        <v>6</v>
      </c>
      <c r="H70">
        <v>0</v>
      </c>
      <c r="I70">
        <v>0</v>
      </c>
      <c r="J70">
        <v>1</v>
      </c>
      <c r="K70">
        <v>3</v>
      </c>
      <c r="M70">
        <v>0</v>
      </c>
      <c r="N70">
        <v>0</v>
      </c>
      <c r="O70">
        <v>1</v>
      </c>
      <c r="P70">
        <v>1</v>
      </c>
    </row>
    <row r="71" spans="2:16" x14ac:dyDescent="0.75">
      <c r="B71">
        <v>0</v>
      </c>
      <c r="C71">
        <v>0</v>
      </c>
      <c r="D71">
        <v>1</v>
      </c>
      <c r="E71">
        <v>5</v>
      </c>
      <c r="H71">
        <v>0</v>
      </c>
      <c r="I71">
        <v>0</v>
      </c>
      <c r="J71">
        <v>1</v>
      </c>
      <c r="K71">
        <v>5</v>
      </c>
      <c r="M71">
        <v>0</v>
      </c>
      <c r="N71">
        <v>0</v>
      </c>
      <c r="O71">
        <v>1</v>
      </c>
      <c r="P71">
        <v>1</v>
      </c>
    </row>
    <row r="75" spans="2:16" x14ac:dyDescent="0.75">
      <c r="L75" s="5"/>
      <c r="P75" s="5"/>
    </row>
  </sheetData>
  <sortState xmlns:xlrd2="http://schemas.microsoft.com/office/spreadsheetml/2017/richdata2" ref="M13:P71">
    <sortCondition descending="1" ref="M13:M71"/>
    <sortCondition descending="1" ref="N13:N7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CE06-B374-44DE-ABFB-7262E895BAF7}">
  <dimension ref="D1:Q49"/>
  <sheetViews>
    <sheetView workbookViewId="0"/>
  </sheetViews>
  <sheetFormatPr defaultRowHeight="14.75" x14ac:dyDescent="0.75"/>
  <cols>
    <col min="8" max="8" width="17.81640625" bestFit="1" customWidth="1"/>
    <col min="16" max="16" width="17.81640625" bestFit="1" customWidth="1"/>
  </cols>
  <sheetData>
    <row r="1" spans="4:17" x14ac:dyDescent="0.75">
      <c r="D1" s="8" t="s">
        <v>166</v>
      </c>
    </row>
    <row r="2" spans="4:17" x14ac:dyDescent="0.75">
      <c r="D2" s="8" t="s">
        <v>167</v>
      </c>
    </row>
    <row r="6" spans="4:17" x14ac:dyDescent="0.75">
      <c r="D6" t="s">
        <v>165</v>
      </c>
      <c r="E6" s="2">
        <f>TTEST(E10:E49,M10:M27,2,3)</f>
        <v>0.40779753668150842</v>
      </c>
      <c r="F6" s="2">
        <f>TTEST(F10:F49,N10:N27,2,3)</f>
        <v>2.2691303254257805E-2</v>
      </c>
      <c r="G6" s="2">
        <f>TTEST(G10:G49,O10:O27,2,3)</f>
        <v>9.6730162530302005E-2</v>
      </c>
      <c r="I6" s="2">
        <f>TTEST(I10:I49,Q10:Q27,2,3)</f>
        <v>7.29020990152177E-2</v>
      </c>
    </row>
    <row r="8" spans="4:17" x14ac:dyDescent="0.75">
      <c r="E8" s="2">
        <f>AVERAGE(E10:E49)</f>
        <v>31.324999999999999</v>
      </c>
      <c r="F8" s="2">
        <f>AVERAGE(F10:F49)</f>
        <v>5.9749999999999996</v>
      </c>
      <c r="G8" s="2">
        <f>AVERAGE(G10:G49)</f>
        <v>4.5999999999999996</v>
      </c>
      <c r="H8" s="5"/>
      <c r="I8" s="5">
        <f>AVERAGE(I10:I49)</f>
        <v>0.65</v>
      </c>
      <c r="M8" s="2">
        <f>AVERAGE(M10:M27)</f>
        <v>27.555555555555557</v>
      </c>
      <c r="N8" s="2">
        <f>AVERAGE(N10:N27)</f>
        <v>5.0555555555555554</v>
      </c>
      <c r="O8" s="2">
        <f>AVERAGE(O10:O27)</f>
        <v>3.6666666666666665</v>
      </c>
      <c r="P8" s="5"/>
      <c r="Q8" s="5">
        <f>AVERAGE(Q10:Q27)</f>
        <v>0.3888888888888889</v>
      </c>
    </row>
    <row r="9" spans="4:17" x14ac:dyDescent="0.75">
      <c r="E9" t="s">
        <v>139</v>
      </c>
      <c r="F9" t="s">
        <v>120</v>
      </c>
      <c r="G9" t="s">
        <v>121</v>
      </c>
      <c r="H9" t="s">
        <v>131</v>
      </c>
      <c r="M9" t="s">
        <v>139</v>
      </c>
      <c r="N9" t="s">
        <v>120</v>
      </c>
      <c r="O9" t="s">
        <v>121</v>
      </c>
      <c r="P9" t="s">
        <v>131</v>
      </c>
    </row>
    <row r="10" spans="4:17" x14ac:dyDescent="0.75">
      <c r="D10" t="s">
        <v>104</v>
      </c>
      <c r="E10">
        <v>61</v>
      </c>
      <c r="F10">
        <v>5</v>
      </c>
      <c r="G10">
        <v>6</v>
      </c>
      <c r="H10" t="s">
        <v>98</v>
      </c>
      <c r="I10">
        <f>IF(OR(H10="At least once a month",H10="At least once per year"),1,0)</f>
        <v>1</v>
      </c>
      <c r="L10" t="s">
        <v>99</v>
      </c>
      <c r="M10">
        <v>21</v>
      </c>
      <c r="N10">
        <v>4</v>
      </c>
      <c r="O10">
        <v>4</v>
      </c>
      <c r="P10" t="s">
        <v>98</v>
      </c>
      <c r="Q10">
        <f t="shared" ref="Q10:Q27" si="0">IF(OR(P10="At least once a month",P10="At least once per year"),1,0)</f>
        <v>1</v>
      </c>
    </row>
    <row r="11" spans="4:17" x14ac:dyDescent="0.75">
      <c r="D11" t="s">
        <v>104</v>
      </c>
      <c r="E11">
        <v>58</v>
      </c>
      <c r="F11">
        <v>6</v>
      </c>
      <c r="G11">
        <v>7</v>
      </c>
      <c r="H11" t="s">
        <v>98</v>
      </c>
      <c r="I11">
        <f t="shared" ref="I11:I49" si="1">IF(OR(H11="At least once a month",H11="At least once per year"),1,0)</f>
        <v>1</v>
      </c>
      <c r="L11" t="s">
        <v>99</v>
      </c>
      <c r="M11">
        <v>20</v>
      </c>
      <c r="N11">
        <v>5</v>
      </c>
      <c r="O11">
        <v>5</v>
      </c>
      <c r="P11" t="s">
        <v>106</v>
      </c>
      <c r="Q11">
        <f t="shared" si="0"/>
        <v>0</v>
      </c>
    </row>
    <row r="12" spans="4:17" x14ac:dyDescent="0.75">
      <c r="D12" t="s">
        <v>104</v>
      </c>
      <c r="E12">
        <v>19</v>
      </c>
      <c r="F12">
        <v>7</v>
      </c>
      <c r="G12">
        <v>2</v>
      </c>
      <c r="H12" t="s">
        <v>106</v>
      </c>
      <c r="I12">
        <f t="shared" si="1"/>
        <v>0</v>
      </c>
      <c r="L12" t="s">
        <v>99</v>
      </c>
      <c r="M12">
        <v>10</v>
      </c>
      <c r="N12">
        <v>6</v>
      </c>
      <c r="O12">
        <v>5</v>
      </c>
      <c r="P12" t="s">
        <v>98</v>
      </c>
      <c r="Q12">
        <f t="shared" si="0"/>
        <v>1</v>
      </c>
    </row>
    <row r="13" spans="4:17" x14ac:dyDescent="0.75">
      <c r="D13" t="s">
        <v>104</v>
      </c>
      <c r="E13">
        <v>34</v>
      </c>
      <c r="F13">
        <v>7</v>
      </c>
      <c r="G13">
        <v>1</v>
      </c>
      <c r="H13" t="s">
        <v>110</v>
      </c>
      <c r="I13">
        <f t="shared" si="1"/>
        <v>0</v>
      </c>
      <c r="L13" t="s">
        <v>99</v>
      </c>
      <c r="M13">
        <v>59</v>
      </c>
      <c r="N13">
        <v>5</v>
      </c>
      <c r="O13">
        <v>3</v>
      </c>
      <c r="P13" t="s">
        <v>106</v>
      </c>
      <c r="Q13">
        <f t="shared" si="0"/>
        <v>0</v>
      </c>
    </row>
    <row r="14" spans="4:17" x14ac:dyDescent="0.75">
      <c r="D14" t="s">
        <v>104</v>
      </c>
      <c r="E14">
        <v>15</v>
      </c>
      <c r="F14">
        <v>7</v>
      </c>
      <c r="G14">
        <v>7</v>
      </c>
      <c r="H14" t="s">
        <v>98</v>
      </c>
      <c r="I14">
        <f t="shared" si="1"/>
        <v>1</v>
      </c>
      <c r="L14" t="s">
        <v>99</v>
      </c>
      <c r="M14">
        <v>30</v>
      </c>
      <c r="N14">
        <v>5</v>
      </c>
      <c r="O14">
        <v>3</v>
      </c>
      <c r="P14" t="s">
        <v>106</v>
      </c>
      <c r="Q14">
        <f t="shared" si="0"/>
        <v>0</v>
      </c>
    </row>
    <row r="15" spans="4:17" x14ac:dyDescent="0.75">
      <c r="D15" t="s">
        <v>104</v>
      </c>
      <c r="E15">
        <v>26</v>
      </c>
      <c r="F15">
        <v>6</v>
      </c>
      <c r="G15">
        <v>5</v>
      </c>
      <c r="H15" t="s">
        <v>106</v>
      </c>
      <c r="I15">
        <f t="shared" si="1"/>
        <v>0</v>
      </c>
      <c r="L15" t="s">
        <v>99</v>
      </c>
      <c r="M15">
        <v>40</v>
      </c>
      <c r="N15">
        <v>5</v>
      </c>
      <c r="O15">
        <v>6</v>
      </c>
      <c r="P15" t="s">
        <v>98</v>
      </c>
      <c r="Q15">
        <f t="shared" si="0"/>
        <v>1</v>
      </c>
    </row>
    <row r="16" spans="4:17" x14ac:dyDescent="0.75">
      <c r="D16" t="s">
        <v>104</v>
      </c>
      <c r="E16">
        <v>40</v>
      </c>
      <c r="F16">
        <v>5</v>
      </c>
      <c r="G16">
        <v>5</v>
      </c>
      <c r="H16" t="s">
        <v>98</v>
      </c>
      <c r="I16">
        <f t="shared" si="1"/>
        <v>1</v>
      </c>
      <c r="L16" t="s">
        <v>99</v>
      </c>
      <c r="M16">
        <v>0</v>
      </c>
      <c r="N16">
        <v>1</v>
      </c>
      <c r="O16">
        <v>4</v>
      </c>
      <c r="P16" t="s">
        <v>106</v>
      </c>
      <c r="Q16">
        <f t="shared" si="0"/>
        <v>0</v>
      </c>
    </row>
    <row r="17" spans="4:17" x14ac:dyDescent="0.75">
      <c r="D17" t="s">
        <v>104</v>
      </c>
      <c r="E17">
        <v>19</v>
      </c>
      <c r="F17">
        <v>5</v>
      </c>
      <c r="G17">
        <v>1</v>
      </c>
      <c r="H17" t="s">
        <v>106</v>
      </c>
      <c r="I17">
        <f t="shared" si="1"/>
        <v>0</v>
      </c>
      <c r="L17" t="s">
        <v>99</v>
      </c>
      <c r="M17">
        <v>30</v>
      </c>
      <c r="N17">
        <v>5</v>
      </c>
      <c r="O17">
        <v>4</v>
      </c>
      <c r="P17" t="s">
        <v>113</v>
      </c>
      <c r="Q17">
        <f t="shared" si="0"/>
        <v>1</v>
      </c>
    </row>
    <row r="18" spans="4:17" x14ac:dyDescent="0.75">
      <c r="D18" t="s">
        <v>104</v>
      </c>
      <c r="E18">
        <v>36</v>
      </c>
      <c r="F18">
        <v>6</v>
      </c>
      <c r="G18">
        <v>6</v>
      </c>
      <c r="H18" t="s">
        <v>98</v>
      </c>
      <c r="I18">
        <f t="shared" si="1"/>
        <v>1</v>
      </c>
      <c r="L18" t="s">
        <v>99</v>
      </c>
      <c r="M18">
        <v>16</v>
      </c>
      <c r="N18">
        <v>5</v>
      </c>
      <c r="O18">
        <v>1</v>
      </c>
      <c r="P18" t="s">
        <v>106</v>
      </c>
      <c r="Q18">
        <f t="shared" si="0"/>
        <v>0</v>
      </c>
    </row>
    <row r="19" spans="4:17" x14ac:dyDescent="0.75">
      <c r="D19" t="s">
        <v>104</v>
      </c>
      <c r="E19">
        <v>10</v>
      </c>
      <c r="F19">
        <v>5</v>
      </c>
      <c r="G19">
        <v>3</v>
      </c>
      <c r="H19" t="s">
        <v>106</v>
      </c>
      <c r="I19">
        <f t="shared" si="1"/>
        <v>0</v>
      </c>
      <c r="L19" t="s">
        <v>99</v>
      </c>
      <c r="M19">
        <v>15</v>
      </c>
      <c r="N19">
        <v>3</v>
      </c>
      <c r="O19">
        <v>1</v>
      </c>
      <c r="P19" t="s">
        <v>110</v>
      </c>
      <c r="Q19">
        <f t="shared" si="0"/>
        <v>0</v>
      </c>
    </row>
    <row r="20" spans="4:17" x14ac:dyDescent="0.75">
      <c r="D20" t="s">
        <v>104</v>
      </c>
      <c r="E20">
        <v>51</v>
      </c>
      <c r="F20">
        <v>6</v>
      </c>
      <c r="G20">
        <v>7</v>
      </c>
      <c r="H20" t="s">
        <v>98</v>
      </c>
      <c r="I20">
        <f t="shared" si="1"/>
        <v>1</v>
      </c>
      <c r="L20" t="s">
        <v>99</v>
      </c>
      <c r="M20">
        <v>19</v>
      </c>
      <c r="N20">
        <v>7</v>
      </c>
      <c r="O20">
        <v>2</v>
      </c>
      <c r="P20" t="s">
        <v>106</v>
      </c>
      <c r="Q20">
        <f t="shared" si="0"/>
        <v>0</v>
      </c>
    </row>
    <row r="21" spans="4:17" x14ac:dyDescent="0.75">
      <c r="D21" t="s">
        <v>104</v>
      </c>
      <c r="E21">
        <v>25</v>
      </c>
      <c r="F21">
        <v>6</v>
      </c>
      <c r="G21">
        <v>7</v>
      </c>
      <c r="H21" t="s">
        <v>98</v>
      </c>
      <c r="I21">
        <f t="shared" si="1"/>
        <v>1</v>
      </c>
      <c r="L21" t="s">
        <v>99</v>
      </c>
      <c r="M21">
        <v>41</v>
      </c>
      <c r="N21">
        <v>7</v>
      </c>
      <c r="O21">
        <v>5</v>
      </c>
      <c r="P21" t="s">
        <v>98</v>
      </c>
      <c r="Q21">
        <f t="shared" si="0"/>
        <v>1</v>
      </c>
    </row>
    <row r="22" spans="4:17" x14ac:dyDescent="0.75">
      <c r="D22" t="s">
        <v>104</v>
      </c>
      <c r="E22">
        <v>45</v>
      </c>
      <c r="F22">
        <v>6</v>
      </c>
      <c r="G22">
        <v>7</v>
      </c>
      <c r="H22" t="s">
        <v>113</v>
      </c>
      <c r="I22">
        <f t="shared" si="1"/>
        <v>1</v>
      </c>
      <c r="L22" t="s">
        <v>99</v>
      </c>
      <c r="M22">
        <v>35</v>
      </c>
      <c r="N22">
        <v>5</v>
      </c>
      <c r="O22">
        <v>3</v>
      </c>
      <c r="P22" t="s">
        <v>106</v>
      </c>
      <c r="Q22">
        <f t="shared" si="0"/>
        <v>0</v>
      </c>
    </row>
    <row r="23" spans="4:17" x14ac:dyDescent="0.75">
      <c r="D23" t="s">
        <v>104</v>
      </c>
      <c r="E23">
        <v>40</v>
      </c>
      <c r="F23">
        <v>7</v>
      </c>
      <c r="G23">
        <v>7</v>
      </c>
      <c r="H23" t="s">
        <v>98</v>
      </c>
      <c r="I23">
        <f t="shared" si="1"/>
        <v>1</v>
      </c>
      <c r="L23" t="s">
        <v>99</v>
      </c>
      <c r="M23">
        <v>30</v>
      </c>
      <c r="N23">
        <v>6</v>
      </c>
      <c r="O23">
        <v>7</v>
      </c>
      <c r="P23" t="s">
        <v>98</v>
      </c>
      <c r="Q23">
        <f t="shared" si="0"/>
        <v>1</v>
      </c>
    </row>
    <row r="24" spans="4:17" x14ac:dyDescent="0.75">
      <c r="D24" t="s">
        <v>104</v>
      </c>
      <c r="E24">
        <v>15</v>
      </c>
      <c r="F24">
        <v>5</v>
      </c>
      <c r="G24">
        <v>6</v>
      </c>
      <c r="H24" t="s">
        <v>98</v>
      </c>
      <c r="I24">
        <f t="shared" si="1"/>
        <v>1</v>
      </c>
      <c r="L24" t="s">
        <v>99</v>
      </c>
      <c r="M24">
        <v>10</v>
      </c>
      <c r="N24">
        <v>6</v>
      </c>
      <c r="O24">
        <v>4</v>
      </c>
      <c r="P24" t="s">
        <v>106</v>
      </c>
      <c r="Q24">
        <f t="shared" si="0"/>
        <v>0</v>
      </c>
    </row>
    <row r="25" spans="4:17" x14ac:dyDescent="0.75">
      <c r="D25" t="s">
        <v>104</v>
      </c>
      <c r="E25">
        <v>16</v>
      </c>
      <c r="F25">
        <v>3</v>
      </c>
      <c r="G25">
        <v>1</v>
      </c>
      <c r="H25" t="s">
        <v>106</v>
      </c>
      <c r="I25">
        <f t="shared" si="1"/>
        <v>0</v>
      </c>
      <c r="L25" t="s">
        <v>99</v>
      </c>
      <c r="M25">
        <v>40</v>
      </c>
      <c r="N25">
        <v>6</v>
      </c>
      <c r="O25">
        <v>6</v>
      </c>
      <c r="P25" t="s">
        <v>98</v>
      </c>
      <c r="Q25">
        <f t="shared" si="0"/>
        <v>1</v>
      </c>
    </row>
    <row r="26" spans="4:17" x14ac:dyDescent="0.75">
      <c r="D26" t="s">
        <v>104</v>
      </c>
      <c r="E26">
        <v>31</v>
      </c>
      <c r="F26">
        <v>3</v>
      </c>
      <c r="G26">
        <v>4</v>
      </c>
      <c r="H26" t="s">
        <v>106</v>
      </c>
      <c r="I26">
        <f t="shared" si="1"/>
        <v>0</v>
      </c>
      <c r="L26" t="s">
        <v>99</v>
      </c>
      <c r="M26">
        <v>60</v>
      </c>
      <c r="N26">
        <v>6</v>
      </c>
      <c r="O26">
        <v>2</v>
      </c>
      <c r="P26" t="s">
        <v>110</v>
      </c>
      <c r="Q26">
        <f t="shared" si="0"/>
        <v>0</v>
      </c>
    </row>
    <row r="27" spans="4:17" x14ac:dyDescent="0.75">
      <c r="D27" t="s">
        <v>104</v>
      </c>
      <c r="E27">
        <v>30</v>
      </c>
      <c r="F27">
        <v>5</v>
      </c>
      <c r="G27">
        <v>6</v>
      </c>
      <c r="H27" t="s">
        <v>106</v>
      </c>
      <c r="I27">
        <f t="shared" si="1"/>
        <v>0</v>
      </c>
      <c r="L27" t="s">
        <v>99</v>
      </c>
      <c r="M27">
        <v>20</v>
      </c>
      <c r="N27">
        <v>4</v>
      </c>
      <c r="O27">
        <v>1</v>
      </c>
      <c r="P27" t="s">
        <v>110</v>
      </c>
      <c r="Q27">
        <f t="shared" si="0"/>
        <v>0</v>
      </c>
    </row>
    <row r="28" spans="4:17" x14ac:dyDescent="0.75">
      <c r="D28" t="s">
        <v>104</v>
      </c>
      <c r="E28">
        <v>56</v>
      </c>
      <c r="F28">
        <v>7</v>
      </c>
      <c r="G28">
        <v>6</v>
      </c>
      <c r="H28" t="s">
        <v>113</v>
      </c>
      <c r="I28">
        <f t="shared" si="1"/>
        <v>1</v>
      </c>
    </row>
    <row r="29" spans="4:17" x14ac:dyDescent="0.75">
      <c r="D29" t="s">
        <v>104</v>
      </c>
      <c r="E29">
        <v>30</v>
      </c>
      <c r="F29">
        <v>5</v>
      </c>
      <c r="G29">
        <v>1</v>
      </c>
      <c r="H29" t="s">
        <v>106</v>
      </c>
      <c r="I29">
        <f t="shared" si="1"/>
        <v>0</v>
      </c>
    </row>
    <row r="30" spans="4:17" x14ac:dyDescent="0.75">
      <c r="D30" t="s">
        <v>104</v>
      </c>
      <c r="E30">
        <v>59</v>
      </c>
      <c r="F30">
        <v>7</v>
      </c>
      <c r="G30">
        <v>3</v>
      </c>
      <c r="H30" t="s">
        <v>113</v>
      </c>
      <c r="I30">
        <f t="shared" si="1"/>
        <v>1</v>
      </c>
    </row>
    <row r="31" spans="4:17" x14ac:dyDescent="0.75">
      <c r="D31" t="s">
        <v>104</v>
      </c>
      <c r="E31">
        <v>30</v>
      </c>
      <c r="F31">
        <v>7</v>
      </c>
      <c r="G31">
        <v>3</v>
      </c>
      <c r="H31" t="s">
        <v>106</v>
      </c>
      <c r="I31">
        <f t="shared" si="1"/>
        <v>0</v>
      </c>
    </row>
    <row r="32" spans="4:17" x14ac:dyDescent="0.75">
      <c r="D32" t="s">
        <v>104</v>
      </c>
      <c r="E32">
        <v>30</v>
      </c>
      <c r="F32">
        <v>7</v>
      </c>
      <c r="G32">
        <v>1</v>
      </c>
      <c r="H32" t="s">
        <v>110</v>
      </c>
      <c r="I32">
        <f t="shared" si="1"/>
        <v>0</v>
      </c>
    </row>
    <row r="33" spans="4:9" x14ac:dyDescent="0.75">
      <c r="D33" t="s">
        <v>104</v>
      </c>
      <c r="E33">
        <v>28</v>
      </c>
      <c r="F33">
        <v>7</v>
      </c>
      <c r="G33">
        <v>6</v>
      </c>
      <c r="H33" t="s">
        <v>113</v>
      </c>
      <c r="I33">
        <f t="shared" si="1"/>
        <v>1</v>
      </c>
    </row>
    <row r="34" spans="4:9" x14ac:dyDescent="0.75">
      <c r="D34" t="s">
        <v>104</v>
      </c>
      <c r="E34">
        <v>29</v>
      </c>
      <c r="F34">
        <v>6</v>
      </c>
      <c r="G34">
        <v>6</v>
      </c>
      <c r="H34" t="s">
        <v>98</v>
      </c>
      <c r="I34">
        <f t="shared" si="1"/>
        <v>1</v>
      </c>
    </row>
    <row r="35" spans="4:9" x14ac:dyDescent="0.75">
      <c r="D35" t="s">
        <v>104</v>
      </c>
      <c r="E35">
        <v>20</v>
      </c>
      <c r="F35">
        <v>6</v>
      </c>
      <c r="G35">
        <v>6</v>
      </c>
      <c r="H35" t="s">
        <v>98</v>
      </c>
      <c r="I35">
        <f t="shared" si="1"/>
        <v>1</v>
      </c>
    </row>
    <row r="36" spans="4:9" x14ac:dyDescent="0.75">
      <c r="D36" t="s">
        <v>104</v>
      </c>
      <c r="E36">
        <v>60</v>
      </c>
      <c r="F36">
        <v>7</v>
      </c>
      <c r="G36">
        <v>7</v>
      </c>
      <c r="H36" t="s">
        <v>98</v>
      </c>
      <c r="I36">
        <f t="shared" si="1"/>
        <v>1</v>
      </c>
    </row>
    <row r="37" spans="4:9" x14ac:dyDescent="0.75">
      <c r="D37" t="s">
        <v>104</v>
      </c>
      <c r="E37">
        <v>32</v>
      </c>
      <c r="F37">
        <v>7</v>
      </c>
      <c r="G37">
        <v>7</v>
      </c>
      <c r="H37" t="s">
        <v>98</v>
      </c>
      <c r="I37">
        <f t="shared" si="1"/>
        <v>1</v>
      </c>
    </row>
    <row r="38" spans="4:9" x14ac:dyDescent="0.75">
      <c r="D38" t="s">
        <v>104</v>
      </c>
      <c r="E38">
        <v>10</v>
      </c>
      <c r="F38">
        <v>5</v>
      </c>
      <c r="G38">
        <v>2</v>
      </c>
      <c r="H38" t="s">
        <v>110</v>
      </c>
      <c r="I38">
        <f t="shared" si="1"/>
        <v>0</v>
      </c>
    </row>
    <row r="39" spans="4:9" x14ac:dyDescent="0.75">
      <c r="D39" t="s">
        <v>104</v>
      </c>
      <c r="E39">
        <v>19</v>
      </c>
      <c r="F39">
        <v>5</v>
      </c>
      <c r="G39">
        <v>6</v>
      </c>
      <c r="H39" t="s">
        <v>98</v>
      </c>
      <c r="I39">
        <f t="shared" si="1"/>
        <v>1</v>
      </c>
    </row>
    <row r="40" spans="4:9" x14ac:dyDescent="0.75">
      <c r="D40" t="s">
        <v>104</v>
      </c>
      <c r="E40">
        <v>22</v>
      </c>
      <c r="F40">
        <v>7</v>
      </c>
      <c r="G40">
        <v>6</v>
      </c>
      <c r="H40" t="s">
        <v>98</v>
      </c>
      <c r="I40">
        <f t="shared" si="1"/>
        <v>1</v>
      </c>
    </row>
    <row r="41" spans="4:9" x14ac:dyDescent="0.75">
      <c r="D41" t="s">
        <v>104</v>
      </c>
      <c r="E41">
        <v>7</v>
      </c>
      <c r="F41">
        <v>7</v>
      </c>
      <c r="G41">
        <v>3</v>
      </c>
      <c r="H41" t="s">
        <v>98</v>
      </c>
      <c r="I41">
        <f t="shared" si="1"/>
        <v>1</v>
      </c>
    </row>
    <row r="42" spans="4:9" x14ac:dyDescent="0.75">
      <c r="D42" t="s">
        <v>104</v>
      </c>
      <c r="E42">
        <v>45</v>
      </c>
      <c r="F42">
        <v>7</v>
      </c>
      <c r="G42">
        <v>4</v>
      </c>
      <c r="H42" t="s">
        <v>106</v>
      </c>
      <c r="I42">
        <f t="shared" si="1"/>
        <v>0</v>
      </c>
    </row>
    <row r="43" spans="4:9" x14ac:dyDescent="0.75">
      <c r="D43" t="s">
        <v>104</v>
      </c>
      <c r="E43">
        <v>20</v>
      </c>
      <c r="F43">
        <v>7</v>
      </c>
      <c r="G43">
        <v>2</v>
      </c>
      <c r="H43" t="s">
        <v>98</v>
      </c>
      <c r="I43">
        <f t="shared" si="1"/>
        <v>1</v>
      </c>
    </row>
    <row r="44" spans="4:9" x14ac:dyDescent="0.75">
      <c r="D44" t="s">
        <v>104</v>
      </c>
      <c r="E44">
        <v>34</v>
      </c>
      <c r="F44">
        <v>5</v>
      </c>
      <c r="G44">
        <v>2</v>
      </c>
      <c r="H44" t="s">
        <v>113</v>
      </c>
      <c r="I44">
        <f t="shared" si="1"/>
        <v>1</v>
      </c>
    </row>
    <row r="45" spans="4:9" x14ac:dyDescent="0.75">
      <c r="D45" t="s">
        <v>104</v>
      </c>
      <c r="E45">
        <v>48</v>
      </c>
      <c r="F45">
        <v>6</v>
      </c>
      <c r="G45">
        <v>6</v>
      </c>
      <c r="H45" t="s">
        <v>98</v>
      </c>
      <c r="I45">
        <f t="shared" si="1"/>
        <v>1</v>
      </c>
    </row>
    <row r="46" spans="4:9" x14ac:dyDescent="0.75">
      <c r="D46" t="s">
        <v>104</v>
      </c>
      <c r="E46">
        <v>18</v>
      </c>
      <c r="F46">
        <v>5</v>
      </c>
      <c r="G46">
        <v>2</v>
      </c>
      <c r="H46" t="s">
        <v>106</v>
      </c>
      <c r="I46">
        <f t="shared" si="1"/>
        <v>0</v>
      </c>
    </row>
    <row r="47" spans="4:9" x14ac:dyDescent="0.75">
      <c r="D47" t="s">
        <v>104</v>
      </c>
      <c r="E47">
        <v>35</v>
      </c>
      <c r="F47">
        <v>7</v>
      </c>
      <c r="G47">
        <v>5</v>
      </c>
      <c r="H47" t="s">
        <v>113</v>
      </c>
      <c r="I47">
        <f t="shared" si="1"/>
        <v>1</v>
      </c>
    </row>
    <row r="48" spans="4:9" x14ac:dyDescent="0.75">
      <c r="D48" t="s">
        <v>104</v>
      </c>
      <c r="E48">
        <v>30</v>
      </c>
      <c r="F48">
        <v>7</v>
      </c>
      <c r="G48">
        <v>7</v>
      </c>
      <c r="H48" t="s">
        <v>113</v>
      </c>
      <c r="I48">
        <f t="shared" si="1"/>
        <v>1</v>
      </c>
    </row>
    <row r="49" spans="4:9" x14ac:dyDescent="0.75">
      <c r="D49" t="s">
        <v>104</v>
      </c>
      <c r="E49">
        <v>20</v>
      </c>
      <c r="F49">
        <v>5</v>
      </c>
      <c r="G49">
        <v>5</v>
      </c>
      <c r="H49" t="s">
        <v>98</v>
      </c>
      <c r="I49">
        <f t="shared" si="1"/>
        <v>1</v>
      </c>
    </row>
  </sheetData>
  <sortState xmlns:xlrd2="http://schemas.microsoft.com/office/spreadsheetml/2017/richdata2" ref="A10:B68">
    <sortCondition ref="A10:A6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4F340-1DEF-4998-BDBC-F4171A0828B1}">
  <dimension ref="B1:P75"/>
  <sheetViews>
    <sheetView workbookViewId="0"/>
  </sheetViews>
  <sheetFormatPr defaultRowHeight="14.75" x14ac:dyDescent="0.75"/>
  <cols>
    <col min="2" max="2" width="17.81640625" bestFit="1" customWidth="1"/>
    <col min="5" max="5" width="5.6328125" bestFit="1" customWidth="1"/>
  </cols>
  <sheetData>
    <row r="1" spans="2:15" x14ac:dyDescent="0.75">
      <c r="B1" s="8" t="s">
        <v>161</v>
      </c>
    </row>
    <row r="2" spans="2:15" x14ac:dyDescent="0.75">
      <c r="B2" s="8" t="s">
        <v>164</v>
      </c>
    </row>
    <row r="6" spans="2:15" x14ac:dyDescent="0.75">
      <c r="B6" s="2">
        <f>TTEST(C17:C49,F17:F42,2,3)</f>
        <v>1.8686559660086199E-2</v>
      </c>
      <c r="C6" t="s">
        <v>158</v>
      </c>
    </row>
    <row r="8" spans="2:15" x14ac:dyDescent="0.75">
      <c r="C8" t="s">
        <v>160</v>
      </c>
      <c r="F8" t="s">
        <v>159</v>
      </c>
      <c r="I8" t="s">
        <v>163</v>
      </c>
    </row>
    <row r="9" spans="2:15" x14ac:dyDescent="0.75">
      <c r="B9" t="s">
        <v>135</v>
      </c>
      <c r="C9" s="6">
        <f>AVERAGE(C17:C49)</f>
        <v>33.848484848484851</v>
      </c>
      <c r="E9" t="s">
        <v>135</v>
      </c>
      <c r="F9" s="6">
        <f>AVERAGE(F17:F42)</f>
        <v>24.423076923076923</v>
      </c>
      <c r="I9" t="s">
        <v>135</v>
      </c>
      <c r="J9" s="6">
        <f>AVERAGE(J17:J75)</f>
        <v>29.694915254237287</v>
      </c>
    </row>
    <row r="10" spans="2:15" x14ac:dyDescent="0.75">
      <c r="B10" t="s">
        <v>136</v>
      </c>
      <c r="C10" s="6">
        <f>STDEV(C17:C49)</f>
        <v>15.041860781086086</v>
      </c>
      <c r="E10" t="s">
        <v>136</v>
      </c>
      <c r="F10" s="6">
        <f>STDEV(F17:F42)</f>
        <v>14.653799717269449</v>
      </c>
      <c r="I10" t="s">
        <v>136</v>
      </c>
      <c r="J10" s="6">
        <f>STDEV(J17:J75)</f>
        <v>15.481083270134306</v>
      </c>
    </row>
    <row r="11" spans="2:15" x14ac:dyDescent="0.75">
      <c r="B11" t="s">
        <v>137</v>
      </c>
      <c r="C11" s="6">
        <f>MIN(C17:C49)</f>
        <v>7</v>
      </c>
      <c r="E11" t="s">
        <v>137</v>
      </c>
      <c r="F11" s="6">
        <f>MIN(F17:F42)</f>
        <v>0</v>
      </c>
      <c r="I11" t="s">
        <v>137</v>
      </c>
      <c r="J11" s="6">
        <f>MIN(J17:J75)</f>
        <v>0</v>
      </c>
    </row>
    <row r="12" spans="2:15" x14ac:dyDescent="0.75">
      <c r="B12" t="s">
        <v>138</v>
      </c>
      <c r="C12" s="6">
        <f>MAX(C17:C49)</f>
        <v>61</v>
      </c>
      <c r="E12" t="s">
        <v>138</v>
      </c>
      <c r="F12" s="6">
        <f>MAX(F17:F42)</f>
        <v>60</v>
      </c>
      <c r="I12" t="s">
        <v>138</v>
      </c>
      <c r="J12" s="6">
        <f>MAX(J17:J75)</f>
        <v>61</v>
      </c>
      <c r="O12">
        <f>SUM(O17:O32)</f>
        <v>59</v>
      </c>
    </row>
    <row r="13" spans="2:15" x14ac:dyDescent="0.75">
      <c r="J13" s="6"/>
    </row>
    <row r="14" spans="2:15" x14ac:dyDescent="0.75">
      <c r="J14" t="s">
        <v>29</v>
      </c>
    </row>
    <row r="15" spans="2:15" x14ac:dyDescent="0.75">
      <c r="J15" t="s">
        <v>60</v>
      </c>
    </row>
    <row r="16" spans="2:15" x14ac:dyDescent="0.75">
      <c r="H16" t="s">
        <v>131</v>
      </c>
      <c r="J16" t="s">
        <v>92</v>
      </c>
      <c r="M16" t="s">
        <v>162</v>
      </c>
    </row>
    <row r="17" spans="2:16" x14ac:dyDescent="0.75">
      <c r="B17" t="s">
        <v>98</v>
      </c>
      <c r="C17">
        <v>21</v>
      </c>
      <c r="E17" t="s">
        <v>110</v>
      </c>
      <c r="F17">
        <v>34</v>
      </c>
      <c r="H17" t="s">
        <v>98</v>
      </c>
      <c r="J17">
        <v>21</v>
      </c>
      <c r="M17">
        <v>0</v>
      </c>
      <c r="N17">
        <v>5</v>
      </c>
      <c r="O17">
        <f>COUNTIF($J$17:$J$75,"&gt;="&amp;M17)-COUNTIF($J$17:$J$75,"&gt;="&amp;N17)</f>
        <v>2</v>
      </c>
    </row>
    <row r="18" spans="2:16" x14ac:dyDescent="0.75">
      <c r="B18" t="s">
        <v>98</v>
      </c>
      <c r="C18">
        <v>61</v>
      </c>
      <c r="E18" t="s">
        <v>110</v>
      </c>
      <c r="F18">
        <v>15</v>
      </c>
      <c r="H18" t="s">
        <v>98</v>
      </c>
      <c r="J18">
        <v>61</v>
      </c>
      <c r="M18">
        <f>M17+5</f>
        <v>5</v>
      </c>
      <c r="N18">
        <f>N17+5</f>
        <v>10</v>
      </c>
      <c r="O18">
        <f t="shared" ref="O18:O32" si="0">COUNTIF($J$17:$J$75,"&gt;="&amp;M18)-COUNTIF($J$17:$J$75,"&gt;="&amp;N18)</f>
        <v>1</v>
      </c>
      <c r="P18" s="4"/>
    </row>
    <row r="19" spans="2:16" x14ac:dyDescent="0.75">
      <c r="B19" t="s">
        <v>98</v>
      </c>
      <c r="C19">
        <v>58</v>
      </c>
      <c r="E19" t="s">
        <v>110</v>
      </c>
      <c r="F19">
        <v>30</v>
      </c>
      <c r="H19" t="s">
        <v>106</v>
      </c>
      <c r="J19">
        <v>20</v>
      </c>
      <c r="M19">
        <f t="shared" ref="M19:M32" si="1">M18+5</f>
        <v>10</v>
      </c>
      <c r="N19">
        <f t="shared" ref="N19:N32" si="2">N18+5</f>
        <v>15</v>
      </c>
      <c r="O19">
        <f t="shared" si="0"/>
        <v>4</v>
      </c>
    </row>
    <row r="20" spans="2:16" x14ac:dyDescent="0.75">
      <c r="B20" t="s">
        <v>98</v>
      </c>
      <c r="C20">
        <v>10</v>
      </c>
      <c r="E20" t="s">
        <v>110</v>
      </c>
      <c r="F20">
        <v>10</v>
      </c>
      <c r="H20" t="s">
        <v>98</v>
      </c>
      <c r="J20">
        <v>58</v>
      </c>
      <c r="M20">
        <f t="shared" si="1"/>
        <v>15</v>
      </c>
      <c r="N20">
        <f t="shared" si="2"/>
        <v>20</v>
      </c>
      <c r="O20">
        <f t="shared" si="0"/>
        <v>10</v>
      </c>
    </row>
    <row r="21" spans="2:16" x14ac:dyDescent="0.75">
      <c r="B21" t="s">
        <v>98</v>
      </c>
      <c r="C21">
        <v>15</v>
      </c>
      <c r="E21" t="s">
        <v>110</v>
      </c>
      <c r="F21">
        <v>60</v>
      </c>
      <c r="H21" t="s">
        <v>98</v>
      </c>
      <c r="J21">
        <v>10</v>
      </c>
      <c r="M21">
        <f t="shared" si="1"/>
        <v>20</v>
      </c>
      <c r="N21">
        <f t="shared" si="2"/>
        <v>25</v>
      </c>
      <c r="O21">
        <f t="shared" si="0"/>
        <v>7</v>
      </c>
    </row>
    <row r="22" spans="2:16" x14ac:dyDescent="0.75">
      <c r="B22" t="s">
        <v>98</v>
      </c>
      <c r="C22">
        <v>40</v>
      </c>
      <c r="E22" t="s">
        <v>110</v>
      </c>
      <c r="F22">
        <v>20</v>
      </c>
      <c r="H22" t="s">
        <v>106</v>
      </c>
      <c r="J22">
        <v>19</v>
      </c>
      <c r="M22">
        <f t="shared" si="1"/>
        <v>25</v>
      </c>
      <c r="N22">
        <f t="shared" si="2"/>
        <v>30</v>
      </c>
      <c r="O22">
        <f t="shared" si="0"/>
        <v>4</v>
      </c>
    </row>
    <row r="23" spans="2:16" x14ac:dyDescent="0.75">
      <c r="B23" t="s">
        <v>98</v>
      </c>
      <c r="C23">
        <v>36</v>
      </c>
      <c r="E23" t="s">
        <v>106</v>
      </c>
      <c r="F23">
        <v>20</v>
      </c>
      <c r="H23" t="s">
        <v>110</v>
      </c>
      <c r="J23">
        <v>34</v>
      </c>
      <c r="M23">
        <f t="shared" si="1"/>
        <v>30</v>
      </c>
      <c r="N23">
        <f t="shared" si="2"/>
        <v>35</v>
      </c>
      <c r="O23">
        <f t="shared" si="0"/>
        <v>12</v>
      </c>
    </row>
    <row r="24" spans="2:16" x14ac:dyDescent="0.75">
      <c r="B24" t="s">
        <v>98</v>
      </c>
      <c r="C24">
        <v>51</v>
      </c>
      <c r="E24" t="s">
        <v>106</v>
      </c>
      <c r="F24">
        <v>19</v>
      </c>
      <c r="H24" t="s">
        <v>106</v>
      </c>
      <c r="J24">
        <v>59</v>
      </c>
      <c r="M24">
        <f t="shared" si="1"/>
        <v>35</v>
      </c>
      <c r="N24">
        <f t="shared" si="2"/>
        <v>40</v>
      </c>
      <c r="O24">
        <f t="shared" si="0"/>
        <v>3</v>
      </c>
    </row>
    <row r="25" spans="2:16" x14ac:dyDescent="0.75">
      <c r="B25" t="s">
        <v>98</v>
      </c>
      <c r="C25">
        <v>25</v>
      </c>
      <c r="E25" t="s">
        <v>106</v>
      </c>
      <c r="F25">
        <v>59</v>
      </c>
      <c r="H25" t="s">
        <v>106</v>
      </c>
      <c r="J25">
        <v>30</v>
      </c>
      <c r="M25">
        <f t="shared" si="1"/>
        <v>40</v>
      </c>
      <c r="N25">
        <f t="shared" si="2"/>
        <v>45</v>
      </c>
      <c r="O25">
        <f t="shared" si="0"/>
        <v>5</v>
      </c>
    </row>
    <row r="26" spans="2:16" x14ac:dyDescent="0.75">
      <c r="B26" t="s">
        <v>98</v>
      </c>
      <c r="C26">
        <v>40</v>
      </c>
      <c r="E26" t="s">
        <v>106</v>
      </c>
      <c r="F26">
        <v>30</v>
      </c>
      <c r="H26" t="s">
        <v>98</v>
      </c>
      <c r="J26">
        <v>15</v>
      </c>
      <c r="M26">
        <f t="shared" si="1"/>
        <v>45</v>
      </c>
      <c r="N26">
        <f t="shared" si="2"/>
        <v>50</v>
      </c>
      <c r="O26">
        <f t="shared" si="0"/>
        <v>3</v>
      </c>
    </row>
    <row r="27" spans="2:16" x14ac:dyDescent="0.75">
      <c r="B27" t="s">
        <v>98</v>
      </c>
      <c r="C27">
        <v>15</v>
      </c>
      <c r="E27" t="s">
        <v>106</v>
      </c>
      <c r="F27">
        <v>26</v>
      </c>
      <c r="H27" t="s">
        <v>106</v>
      </c>
      <c r="J27">
        <v>26</v>
      </c>
      <c r="M27">
        <f t="shared" si="1"/>
        <v>50</v>
      </c>
      <c r="N27">
        <f t="shared" si="2"/>
        <v>55</v>
      </c>
      <c r="O27">
        <f t="shared" si="0"/>
        <v>1</v>
      </c>
    </row>
    <row r="28" spans="2:16" x14ac:dyDescent="0.75">
      <c r="B28" t="s">
        <v>98</v>
      </c>
      <c r="C28">
        <v>40</v>
      </c>
      <c r="E28" t="s">
        <v>106</v>
      </c>
      <c r="F28">
        <v>19</v>
      </c>
      <c r="H28" t="s">
        <v>98</v>
      </c>
      <c r="J28">
        <v>40</v>
      </c>
      <c r="M28">
        <f t="shared" si="1"/>
        <v>55</v>
      </c>
      <c r="N28">
        <f t="shared" si="2"/>
        <v>60</v>
      </c>
      <c r="O28">
        <f t="shared" si="0"/>
        <v>4</v>
      </c>
    </row>
    <row r="29" spans="2:16" x14ac:dyDescent="0.75">
      <c r="B29" t="s">
        <v>98</v>
      </c>
      <c r="C29">
        <v>29</v>
      </c>
      <c r="E29" t="s">
        <v>106</v>
      </c>
      <c r="F29">
        <v>10</v>
      </c>
      <c r="H29" t="s">
        <v>106</v>
      </c>
      <c r="J29">
        <v>19</v>
      </c>
      <c r="M29">
        <f t="shared" si="1"/>
        <v>60</v>
      </c>
      <c r="N29">
        <f t="shared" si="2"/>
        <v>65</v>
      </c>
      <c r="O29">
        <f t="shared" si="0"/>
        <v>3</v>
      </c>
    </row>
    <row r="30" spans="2:16" x14ac:dyDescent="0.75">
      <c r="B30" t="s">
        <v>98</v>
      </c>
      <c r="C30">
        <v>41</v>
      </c>
      <c r="E30" t="s">
        <v>106</v>
      </c>
      <c r="F30">
        <v>16</v>
      </c>
      <c r="H30" t="s">
        <v>98</v>
      </c>
      <c r="J30">
        <v>36</v>
      </c>
      <c r="M30">
        <f t="shared" si="1"/>
        <v>65</v>
      </c>
      <c r="N30">
        <f t="shared" si="2"/>
        <v>70</v>
      </c>
      <c r="O30">
        <f t="shared" si="0"/>
        <v>0</v>
      </c>
    </row>
    <row r="31" spans="2:16" x14ac:dyDescent="0.75">
      <c r="B31" t="s">
        <v>98</v>
      </c>
      <c r="C31">
        <v>20</v>
      </c>
      <c r="E31" t="s">
        <v>106</v>
      </c>
      <c r="F31">
        <v>31</v>
      </c>
      <c r="H31" t="s">
        <v>106</v>
      </c>
      <c r="J31">
        <v>10</v>
      </c>
      <c r="M31">
        <f t="shared" si="1"/>
        <v>70</v>
      </c>
      <c r="N31">
        <f t="shared" si="2"/>
        <v>75</v>
      </c>
      <c r="O31">
        <f t="shared" si="0"/>
        <v>0</v>
      </c>
    </row>
    <row r="32" spans="2:16" x14ac:dyDescent="0.75">
      <c r="B32" t="s">
        <v>98</v>
      </c>
      <c r="C32">
        <v>60</v>
      </c>
      <c r="E32" t="s">
        <v>106</v>
      </c>
      <c r="F32">
        <v>30</v>
      </c>
      <c r="H32" t="s">
        <v>98</v>
      </c>
      <c r="J32">
        <v>51</v>
      </c>
      <c r="M32">
        <f t="shared" si="1"/>
        <v>75</v>
      </c>
      <c r="N32">
        <f t="shared" si="2"/>
        <v>80</v>
      </c>
      <c r="O32">
        <f t="shared" si="0"/>
        <v>0</v>
      </c>
    </row>
    <row r="33" spans="2:10" x14ac:dyDescent="0.75">
      <c r="B33" t="s">
        <v>98</v>
      </c>
      <c r="C33">
        <v>32</v>
      </c>
      <c r="E33" t="s">
        <v>106</v>
      </c>
      <c r="F33">
        <v>30</v>
      </c>
      <c r="H33" t="s">
        <v>98</v>
      </c>
      <c r="J33">
        <v>25</v>
      </c>
    </row>
    <row r="34" spans="2:10" x14ac:dyDescent="0.75">
      <c r="B34" t="s">
        <v>98</v>
      </c>
      <c r="C34">
        <v>19</v>
      </c>
      <c r="E34" t="s">
        <v>106</v>
      </c>
      <c r="F34">
        <v>0</v>
      </c>
      <c r="H34" t="s">
        <v>113</v>
      </c>
      <c r="J34">
        <v>45</v>
      </c>
    </row>
    <row r="35" spans="2:10" x14ac:dyDescent="0.75">
      <c r="B35" t="s">
        <v>98</v>
      </c>
      <c r="C35">
        <v>22</v>
      </c>
      <c r="E35" t="s">
        <v>106</v>
      </c>
      <c r="F35">
        <v>16</v>
      </c>
      <c r="H35" t="s">
        <v>98</v>
      </c>
      <c r="J35">
        <v>40</v>
      </c>
    </row>
    <row r="36" spans="2:10" x14ac:dyDescent="0.75">
      <c r="B36" t="s">
        <v>98</v>
      </c>
      <c r="C36">
        <v>7</v>
      </c>
      <c r="E36" t="s">
        <v>106</v>
      </c>
      <c r="F36">
        <v>30</v>
      </c>
      <c r="H36" t="s">
        <v>98</v>
      </c>
      <c r="J36">
        <v>15</v>
      </c>
    </row>
    <row r="37" spans="2:10" x14ac:dyDescent="0.75">
      <c r="B37" t="s">
        <v>98</v>
      </c>
      <c r="C37">
        <v>20</v>
      </c>
      <c r="E37" t="s">
        <v>106</v>
      </c>
      <c r="F37">
        <v>19</v>
      </c>
      <c r="H37" t="s">
        <v>106</v>
      </c>
      <c r="J37">
        <v>16</v>
      </c>
    </row>
    <row r="38" spans="2:10" x14ac:dyDescent="0.75">
      <c r="B38" t="s">
        <v>98</v>
      </c>
      <c r="C38">
        <v>48</v>
      </c>
      <c r="E38" t="s">
        <v>106</v>
      </c>
      <c r="F38">
        <v>3</v>
      </c>
      <c r="H38" t="s">
        <v>106</v>
      </c>
      <c r="J38">
        <v>31</v>
      </c>
    </row>
    <row r="39" spans="2:10" x14ac:dyDescent="0.75">
      <c r="B39" t="s">
        <v>98</v>
      </c>
      <c r="C39">
        <v>30</v>
      </c>
      <c r="E39" t="s">
        <v>106</v>
      </c>
      <c r="F39">
        <v>35</v>
      </c>
      <c r="H39" t="s">
        <v>98</v>
      </c>
      <c r="J39">
        <v>40</v>
      </c>
    </row>
    <row r="40" spans="2:10" x14ac:dyDescent="0.75">
      <c r="B40" t="s">
        <v>98</v>
      </c>
      <c r="C40">
        <v>40</v>
      </c>
      <c r="E40" t="s">
        <v>106</v>
      </c>
      <c r="F40">
        <v>45</v>
      </c>
      <c r="H40" t="s">
        <v>106</v>
      </c>
      <c r="J40">
        <v>30</v>
      </c>
    </row>
    <row r="41" spans="2:10" x14ac:dyDescent="0.75">
      <c r="B41" t="s">
        <v>98</v>
      </c>
      <c r="C41">
        <v>20</v>
      </c>
      <c r="E41" t="s">
        <v>106</v>
      </c>
      <c r="F41">
        <v>18</v>
      </c>
      <c r="H41" t="s">
        <v>113</v>
      </c>
      <c r="J41">
        <v>56</v>
      </c>
    </row>
    <row r="42" spans="2:10" x14ac:dyDescent="0.75">
      <c r="B42" t="s">
        <v>113</v>
      </c>
      <c r="C42">
        <v>45</v>
      </c>
      <c r="E42" t="s">
        <v>106</v>
      </c>
      <c r="F42">
        <v>10</v>
      </c>
      <c r="H42" t="s">
        <v>106</v>
      </c>
      <c r="J42">
        <v>30</v>
      </c>
    </row>
    <row r="43" spans="2:10" x14ac:dyDescent="0.75">
      <c r="B43" t="s">
        <v>113</v>
      </c>
      <c r="C43">
        <v>56</v>
      </c>
      <c r="H43" t="s">
        <v>113</v>
      </c>
      <c r="J43">
        <v>59</v>
      </c>
    </row>
    <row r="44" spans="2:10" x14ac:dyDescent="0.75">
      <c r="B44" t="s">
        <v>113</v>
      </c>
      <c r="C44">
        <v>59</v>
      </c>
      <c r="H44" t="s">
        <v>106</v>
      </c>
      <c r="J44">
        <v>0</v>
      </c>
    </row>
    <row r="45" spans="2:10" x14ac:dyDescent="0.75">
      <c r="B45" t="s">
        <v>113</v>
      </c>
      <c r="C45">
        <v>30</v>
      </c>
      <c r="H45" t="s">
        <v>113</v>
      </c>
      <c r="J45">
        <v>30</v>
      </c>
    </row>
    <row r="46" spans="2:10" x14ac:dyDescent="0.75">
      <c r="B46" t="s">
        <v>113</v>
      </c>
      <c r="C46">
        <v>28</v>
      </c>
      <c r="H46" t="s">
        <v>106</v>
      </c>
      <c r="J46">
        <v>16</v>
      </c>
    </row>
    <row r="47" spans="2:10" x14ac:dyDescent="0.75">
      <c r="B47" t="s">
        <v>113</v>
      </c>
      <c r="C47">
        <v>34</v>
      </c>
      <c r="H47" t="s">
        <v>110</v>
      </c>
      <c r="J47">
        <v>15</v>
      </c>
    </row>
    <row r="48" spans="2:10" x14ac:dyDescent="0.75">
      <c r="B48" t="s">
        <v>113</v>
      </c>
      <c r="C48">
        <v>35</v>
      </c>
      <c r="H48" t="s">
        <v>106</v>
      </c>
      <c r="J48">
        <v>30</v>
      </c>
    </row>
    <row r="49" spans="2:10" x14ac:dyDescent="0.75">
      <c r="B49" t="s">
        <v>113</v>
      </c>
      <c r="C49">
        <v>30</v>
      </c>
      <c r="H49" t="s">
        <v>110</v>
      </c>
      <c r="J49">
        <v>30</v>
      </c>
    </row>
    <row r="50" spans="2:10" x14ac:dyDescent="0.75">
      <c r="H50" t="s">
        <v>113</v>
      </c>
      <c r="J50">
        <v>28</v>
      </c>
    </row>
    <row r="51" spans="2:10" x14ac:dyDescent="0.75">
      <c r="H51" t="s">
        <v>98</v>
      </c>
      <c r="J51">
        <v>29</v>
      </c>
    </row>
    <row r="52" spans="2:10" x14ac:dyDescent="0.75">
      <c r="H52" t="s">
        <v>106</v>
      </c>
      <c r="J52">
        <v>19</v>
      </c>
    </row>
    <row r="53" spans="2:10" x14ac:dyDescent="0.75">
      <c r="H53" t="s">
        <v>98</v>
      </c>
      <c r="J53">
        <v>41</v>
      </c>
    </row>
    <row r="54" spans="2:10" x14ac:dyDescent="0.75">
      <c r="H54" t="s">
        <v>98</v>
      </c>
      <c r="J54">
        <v>20</v>
      </c>
    </row>
    <row r="55" spans="2:10" x14ac:dyDescent="0.75">
      <c r="H55" t="s">
        <v>106</v>
      </c>
      <c r="J55">
        <v>3</v>
      </c>
    </row>
    <row r="56" spans="2:10" x14ac:dyDescent="0.75">
      <c r="H56" t="s">
        <v>98</v>
      </c>
      <c r="J56">
        <v>60</v>
      </c>
    </row>
    <row r="57" spans="2:10" x14ac:dyDescent="0.75">
      <c r="H57" t="s">
        <v>98</v>
      </c>
      <c r="J57">
        <v>32</v>
      </c>
    </row>
    <row r="58" spans="2:10" x14ac:dyDescent="0.75">
      <c r="H58" t="s">
        <v>110</v>
      </c>
      <c r="J58">
        <v>10</v>
      </c>
    </row>
    <row r="59" spans="2:10" x14ac:dyDescent="0.75">
      <c r="H59" t="s">
        <v>98</v>
      </c>
      <c r="J59">
        <v>19</v>
      </c>
    </row>
    <row r="60" spans="2:10" x14ac:dyDescent="0.75">
      <c r="H60" t="s">
        <v>106</v>
      </c>
      <c r="J60">
        <v>35</v>
      </c>
    </row>
    <row r="61" spans="2:10" x14ac:dyDescent="0.75">
      <c r="H61" t="s">
        <v>98</v>
      </c>
      <c r="J61">
        <v>22</v>
      </c>
    </row>
    <row r="62" spans="2:10" x14ac:dyDescent="0.75">
      <c r="H62" t="s">
        <v>98</v>
      </c>
      <c r="J62">
        <v>7</v>
      </c>
    </row>
    <row r="63" spans="2:10" x14ac:dyDescent="0.75">
      <c r="H63" t="s">
        <v>106</v>
      </c>
      <c r="J63">
        <v>45</v>
      </c>
    </row>
    <row r="64" spans="2:10" x14ac:dyDescent="0.75">
      <c r="H64" t="s">
        <v>98</v>
      </c>
      <c r="J64">
        <v>20</v>
      </c>
    </row>
    <row r="65" spans="8:10" x14ac:dyDescent="0.75">
      <c r="H65" t="s">
        <v>113</v>
      </c>
      <c r="J65">
        <v>34</v>
      </c>
    </row>
    <row r="66" spans="8:10" x14ac:dyDescent="0.75">
      <c r="H66" t="s">
        <v>98</v>
      </c>
      <c r="J66">
        <v>48</v>
      </c>
    </row>
    <row r="67" spans="8:10" x14ac:dyDescent="0.75">
      <c r="H67" t="s">
        <v>106</v>
      </c>
      <c r="J67">
        <v>18</v>
      </c>
    </row>
    <row r="68" spans="8:10" x14ac:dyDescent="0.75">
      <c r="H68" t="s">
        <v>98</v>
      </c>
      <c r="J68">
        <v>30</v>
      </c>
    </row>
    <row r="69" spans="8:10" x14ac:dyDescent="0.75">
      <c r="H69" t="s">
        <v>106</v>
      </c>
      <c r="J69">
        <v>10</v>
      </c>
    </row>
    <row r="70" spans="8:10" x14ac:dyDescent="0.75">
      <c r="H70" t="s">
        <v>113</v>
      </c>
      <c r="J70">
        <v>35</v>
      </c>
    </row>
    <row r="71" spans="8:10" x14ac:dyDescent="0.75">
      <c r="H71" t="s">
        <v>113</v>
      </c>
      <c r="J71">
        <v>30</v>
      </c>
    </row>
    <row r="72" spans="8:10" x14ac:dyDescent="0.75">
      <c r="H72" t="s">
        <v>98</v>
      </c>
      <c r="J72">
        <v>40</v>
      </c>
    </row>
    <row r="73" spans="8:10" x14ac:dyDescent="0.75">
      <c r="H73" t="s">
        <v>98</v>
      </c>
      <c r="J73">
        <v>20</v>
      </c>
    </row>
    <row r="74" spans="8:10" x14ac:dyDescent="0.75">
      <c r="H74" t="s">
        <v>110</v>
      </c>
      <c r="J74">
        <v>60</v>
      </c>
    </row>
    <row r="75" spans="8:10" x14ac:dyDescent="0.75">
      <c r="H75" t="s">
        <v>110</v>
      </c>
      <c r="J75">
        <v>20</v>
      </c>
    </row>
  </sheetData>
  <sortState xmlns:xlrd2="http://schemas.microsoft.com/office/spreadsheetml/2017/richdata2" ref="B17:D75">
    <sortCondition ref="B17:B7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220C2-E48F-410A-9F62-50C9E8B32340}">
  <dimension ref="A1:E52"/>
  <sheetViews>
    <sheetView workbookViewId="0"/>
  </sheetViews>
  <sheetFormatPr defaultRowHeight="14.75" x14ac:dyDescent="0.75"/>
  <cols>
    <col min="2" max="2" width="17.81640625" bestFit="1" customWidth="1"/>
    <col min="3" max="6" width="17.81640625" customWidth="1"/>
  </cols>
  <sheetData>
    <row r="1" spans="2:5" x14ac:dyDescent="0.75">
      <c r="B1" s="8" t="s">
        <v>157</v>
      </c>
    </row>
    <row r="2" spans="2:5" x14ac:dyDescent="0.75">
      <c r="B2" s="8" t="s">
        <v>156</v>
      </c>
    </row>
    <row r="4" spans="2:5" x14ac:dyDescent="0.75">
      <c r="B4">
        <f>TTEST(C20:C52,E20:E45,2,3)</f>
        <v>1.654723552553613E-10</v>
      </c>
      <c r="C4" t="s">
        <v>158</v>
      </c>
    </row>
    <row r="6" spans="2:5" x14ac:dyDescent="0.75">
      <c r="C6" s="3" t="s">
        <v>160</v>
      </c>
      <c r="D6" s="3"/>
      <c r="E6" s="3" t="s">
        <v>159</v>
      </c>
    </row>
    <row r="7" spans="2:5" x14ac:dyDescent="0.75">
      <c r="B7" t="s">
        <v>135</v>
      </c>
      <c r="C7" s="2">
        <f>AVERAGE(C20:C52)</f>
        <v>5.6060606060606064</v>
      </c>
      <c r="D7" t="s">
        <v>135</v>
      </c>
      <c r="E7" s="2">
        <f>AVERAGE(E20:E45)</f>
        <v>2.5769230769230771</v>
      </c>
    </row>
    <row r="8" spans="2:5" x14ac:dyDescent="0.75">
      <c r="B8" t="s">
        <v>136</v>
      </c>
      <c r="C8" s="2">
        <f>STDEV(C20:C52)</f>
        <v>1.4564381625088394</v>
      </c>
      <c r="D8" t="s">
        <v>136</v>
      </c>
      <c r="E8" s="2">
        <f>STDEV(E20:E45)</f>
        <v>1.474396877996611</v>
      </c>
    </row>
    <row r="11" spans="2:5" x14ac:dyDescent="0.75">
      <c r="B11">
        <v>1</v>
      </c>
      <c r="C11">
        <f>COUNTIF($C$20:$C$52,B11)</f>
        <v>0</v>
      </c>
      <c r="E11">
        <f>COUNTIF($E$20:$E$45,B11)</f>
        <v>8</v>
      </c>
    </row>
    <row r="12" spans="2:5" x14ac:dyDescent="0.75">
      <c r="B12">
        <v>2</v>
      </c>
      <c r="C12">
        <f t="shared" ref="C12:C17" si="0">COUNTIF($C$20:$C$52,B12)</f>
        <v>2</v>
      </c>
      <c r="E12">
        <f t="shared" ref="E12:E17" si="1">COUNTIF($E$20:$E$45,B12)</f>
        <v>6</v>
      </c>
    </row>
    <row r="13" spans="2:5" x14ac:dyDescent="0.75">
      <c r="B13">
        <v>3</v>
      </c>
      <c r="C13">
        <f t="shared" si="0"/>
        <v>2</v>
      </c>
      <c r="E13">
        <f t="shared" si="1"/>
        <v>5</v>
      </c>
    </row>
    <row r="14" spans="2:5" x14ac:dyDescent="0.75">
      <c r="B14">
        <v>4</v>
      </c>
      <c r="C14">
        <f t="shared" si="0"/>
        <v>2</v>
      </c>
      <c r="E14">
        <f t="shared" si="1"/>
        <v>4</v>
      </c>
    </row>
    <row r="15" spans="2:5" x14ac:dyDescent="0.75">
      <c r="B15">
        <v>5</v>
      </c>
      <c r="C15">
        <f t="shared" si="0"/>
        <v>5</v>
      </c>
      <c r="E15">
        <f t="shared" si="1"/>
        <v>2</v>
      </c>
    </row>
    <row r="16" spans="2:5" x14ac:dyDescent="0.75">
      <c r="B16">
        <v>6</v>
      </c>
      <c r="C16">
        <f t="shared" si="0"/>
        <v>12</v>
      </c>
      <c r="E16">
        <f t="shared" si="1"/>
        <v>1</v>
      </c>
    </row>
    <row r="17" spans="1:5" x14ac:dyDescent="0.75">
      <c r="A17">
        <f>SUM(C15:C17)/C18</f>
        <v>0.81818181818181823</v>
      </c>
      <c r="B17">
        <v>7</v>
      </c>
      <c r="C17">
        <f t="shared" si="0"/>
        <v>10</v>
      </c>
      <c r="E17">
        <f t="shared" si="1"/>
        <v>0</v>
      </c>
    </row>
    <row r="18" spans="1:5" x14ac:dyDescent="0.75">
      <c r="C18">
        <f>SUM(C11:C17)</f>
        <v>33</v>
      </c>
      <c r="E18">
        <f>SUM(E11:E17)</f>
        <v>26</v>
      </c>
    </row>
    <row r="19" spans="1:5" x14ac:dyDescent="0.75">
      <c r="B19" t="s">
        <v>131</v>
      </c>
      <c r="C19" t="s">
        <v>121</v>
      </c>
      <c r="D19" t="s">
        <v>131</v>
      </c>
      <c r="E19" t="s">
        <v>121</v>
      </c>
    </row>
    <row r="20" spans="1:5" x14ac:dyDescent="0.75">
      <c r="B20" t="s">
        <v>98</v>
      </c>
      <c r="C20">
        <v>4</v>
      </c>
      <c r="D20" t="s">
        <v>110</v>
      </c>
      <c r="E20">
        <v>1</v>
      </c>
    </row>
    <row r="21" spans="1:5" x14ac:dyDescent="0.75">
      <c r="B21" t="s">
        <v>98</v>
      </c>
      <c r="C21">
        <v>6</v>
      </c>
      <c r="D21" t="s">
        <v>110</v>
      </c>
      <c r="E21">
        <v>1</v>
      </c>
    </row>
    <row r="22" spans="1:5" x14ac:dyDescent="0.75">
      <c r="B22" t="s">
        <v>98</v>
      </c>
      <c r="C22">
        <v>7</v>
      </c>
      <c r="D22" t="s">
        <v>110</v>
      </c>
      <c r="E22">
        <v>1</v>
      </c>
    </row>
    <row r="23" spans="1:5" x14ac:dyDescent="0.75">
      <c r="B23" t="s">
        <v>98</v>
      </c>
      <c r="C23">
        <v>5</v>
      </c>
      <c r="D23" t="s">
        <v>110</v>
      </c>
      <c r="E23">
        <v>2</v>
      </c>
    </row>
    <row r="24" spans="1:5" x14ac:dyDescent="0.75">
      <c r="B24" t="s">
        <v>98</v>
      </c>
      <c r="C24">
        <v>7</v>
      </c>
      <c r="D24" t="s">
        <v>110</v>
      </c>
      <c r="E24">
        <v>2</v>
      </c>
    </row>
    <row r="25" spans="1:5" x14ac:dyDescent="0.75">
      <c r="B25" t="s">
        <v>98</v>
      </c>
      <c r="C25">
        <v>5</v>
      </c>
      <c r="D25" t="s">
        <v>110</v>
      </c>
      <c r="E25">
        <v>1</v>
      </c>
    </row>
    <row r="26" spans="1:5" x14ac:dyDescent="0.75">
      <c r="B26" t="s">
        <v>98</v>
      </c>
      <c r="C26">
        <v>6</v>
      </c>
      <c r="D26" t="s">
        <v>106</v>
      </c>
      <c r="E26">
        <v>5</v>
      </c>
    </row>
    <row r="27" spans="1:5" x14ac:dyDescent="0.75">
      <c r="B27" t="s">
        <v>98</v>
      </c>
      <c r="C27">
        <v>7</v>
      </c>
      <c r="D27" t="s">
        <v>106</v>
      </c>
      <c r="E27">
        <v>2</v>
      </c>
    </row>
    <row r="28" spans="1:5" x14ac:dyDescent="0.75">
      <c r="B28" t="s">
        <v>98</v>
      </c>
      <c r="C28">
        <v>7</v>
      </c>
      <c r="D28" t="s">
        <v>106</v>
      </c>
      <c r="E28">
        <v>3</v>
      </c>
    </row>
    <row r="29" spans="1:5" x14ac:dyDescent="0.75">
      <c r="B29" t="s">
        <v>98</v>
      </c>
      <c r="C29">
        <v>7</v>
      </c>
      <c r="D29" t="s">
        <v>106</v>
      </c>
      <c r="E29">
        <v>3</v>
      </c>
    </row>
    <row r="30" spans="1:5" x14ac:dyDescent="0.75">
      <c r="B30" t="s">
        <v>98</v>
      </c>
      <c r="C30">
        <v>6</v>
      </c>
      <c r="D30" t="s">
        <v>106</v>
      </c>
      <c r="E30">
        <v>5</v>
      </c>
    </row>
    <row r="31" spans="1:5" x14ac:dyDescent="0.75">
      <c r="B31" t="s">
        <v>98</v>
      </c>
      <c r="C31">
        <v>6</v>
      </c>
      <c r="D31" t="s">
        <v>106</v>
      </c>
      <c r="E31">
        <v>1</v>
      </c>
    </row>
    <row r="32" spans="1:5" x14ac:dyDescent="0.75">
      <c r="B32" t="s">
        <v>98</v>
      </c>
      <c r="C32">
        <v>6</v>
      </c>
      <c r="D32" t="s">
        <v>106</v>
      </c>
      <c r="E32">
        <v>3</v>
      </c>
    </row>
    <row r="33" spans="2:5" x14ac:dyDescent="0.75">
      <c r="B33" t="s">
        <v>98</v>
      </c>
      <c r="C33">
        <v>5</v>
      </c>
      <c r="D33" t="s">
        <v>106</v>
      </c>
      <c r="E33">
        <v>1</v>
      </c>
    </row>
    <row r="34" spans="2:5" x14ac:dyDescent="0.75">
      <c r="B34" t="s">
        <v>98</v>
      </c>
      <c r="C34">
        <v>6</v>
      </c>
      <c r="D34" t="s">
        <v>106</v>
      </c>
      <c r="E34">
        <v>4</v>
      </c>
    </row>
    <row r="35" spans="2:5" x14ac:dyDescent="0.75">
      <c r="B35" t="s">
        <v>98</v>
      </c>
      <c r="C35">
        <v>7</v>
      </c>
      <c r="D35" t="s">
        <v>106</v>
      </c>
      <c r="E35">
        <v>6</v>
      </c>
    </row>
    <row r="36" spans="2:5" x14ac:dyDescent="0.75">
      <c r="B36" t="s">
        <v>98</v>
      </c>
      <c r="C36">
        <v>7</v>
      </c>
      <c r="D36" t="s">
        <v>106</v>
      </c>
      <c r="E36">
        <v>1</v>
      </c>
    </row>
    <row r="37" spans="2:5" x14ac:dyDescent="0.75">
      <c r="B37" t="s">
        <v>98</v>
      </c>
      <c r="C37">
        <v>6</v>
      </c>
      <c r="D37" t="s">
        <v>106</v>
      </c>
      <c r="E37">
        <v>4</v>
      </c>
    </row>
    <row r="38" spans="2:5" x14ac:dyDescent="0.75">
      <c r="B38" t="s">
        <v>98</v>
      </c>
      <c r="C38">
        <v>6</v>
      </c>
      <c r="D38" t="s">
        <v>106</v>
      </c>
      <c r="E38">
        <v>1</v>
      </c>
    </row>
    <row r="39" spans="2:5" x14ac:dyDescent="0.75">
      <c r="B39" t="s">
        <v>98</v>
      </c>
      <c r="C39">
        <v>3</v>
      </c>
      <c r="D39" t="s">
        <v>106</v>
      </c>
      <c r="E39">
        <v>3</v>
      </c>
    </row>
    <row r="40" spans="2:5" x14ac:dyDescent="0.75">
      <c r="B40" t="s">
        <v>98</v>
      </c>
      <c r="C40">
        <v>2</v>
      </c>
      <c r="D40" t="s">
        <v>106</v>
      </c>
      <c r="E40">
        <v>2</v>
      </c>
    </row>
    <row r="41" spans="2:5" x14ac:dyDescent="0.75">
      <c r="B41" t="s">
        <v>98</v>
      </c>
      <c r="C41">
        <v>6</v>
      </c>
      <c r="D41" t="s">
        <v>106</v>
      </c>
      <c r="E41">
        <v>2</v>
      </c>
    </row>
    <row r="42" spans="2:5" x14ac:dyDescent="0.75">
      <c r="B42" t="s">
        <v>98</v>
      </c>
      <c r="C42">
        <v>7</v>
      </c>
      <c r="D42" t="s">
        <v>106</v>
      </c>
      <c r="E42">
        <v>3</v>
      </c>
    </row>
    <row r="43" spans="2:5" x14ac:dyDescent="0.75">
      <c r="B43" t="s">
        <v>98</v>
      </c>
      <c r="C43">
        <v>6</v>
      </c>
      <c r="D43" t="s">
        <v>106</v>
      </c>
      <c r="E43">
        <v>4</v>
      </c>
    </row>
    <row r="44" spans="2:5" x14ac:dyDescent="0.75">
      <c r="B44" t="s">
        <v>98</v>
      </c>
      <c r="C44">
        <v>5</v>
      </c>
      <c r="D44" t="s">
        <v>106</v>
      </c>
      <c r="E44">
        <v>2</v>
      </c>
    </row>
    <row r="45" spans="2:5" x14ac:dyDescent="0.75">
      <c r="B45" t="s">
        <v>113</v>
      </c>
      <c r="C45">
        <v>7</v>
      </c>
      <c r="D45" t="s">
        <v>106</v>
      </c>
      <c r="E45">
        <v>4</v>
      </c>
    </row>
    <row r="46" spans="2:5" x14ac:dyDescent="0.75">
      <c r="B46" t="s">
        <v>113</v>
      </c>
      <c r="C46">
        <v>6</v>
      </c>
    </row>
    <row r="47" spans="2:5" x14ac:dyDescent="0.75">
      <c r="B47" t="s">
        <v>113</v>
      </c>
      <c r="C47">
        <v>3</v>
      </c>
    </row>
    <row r="48" spans="2:5" x14ac:dyDescent="0.75">
      <c r="B48" t="s">
        <v>113</v>
      </c>
      <c r="C48">
        <v>4</v>
      </c>
    </row>
    <row r="49" spans="2:3" x14ac:dyDescent="0.75">
      <c r="B49" t="s">
        <v>113</v>
      </c>
      <c r="C49">
        <v>6</v>
      </c>
    </row>
    <row r="50" spans="2:3" x14ac:dyDescent="0.75">
      <c r="B50" t="s">
        <v>113</v>
      </c>
      <c r="C50">
        <v>2</v>
      </c>
    </row>
    <row r="51" spans="2:3" x14ac:dyDescent="0.75">
      <c r="B51" t="s">
        <v>113</v>
      </c>
      <c r="C51">
        <v>5</v>
      </c>
    </row>
    <row r="52" spans="2:3" x14ac:dyDescent="0.75">
      <c r="B52" t="s">
        <v>113</v>
      </c>
      <c r="C52">
        <v>7</v>
      </c>
    </row>
  </sheetData>
  <sortState xmlns:xlrd2="http://schemas.microsoft.com/office/spreadsheetml/2017/richdata2" ref="B20:C78">
    <sortCondition ref="B20:B7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98555-200C-4BFB-93BD-994F2B8729AF}">
  <dimension ref="B1:J76"/>
  <sheetViews>
    <sheetView tabSelected="1" workbookViewId="0"/>
  </sheetViews>
  <sheetFormatPr defaultRowHeight="14.75" x14ac:dyDescent="0.75"/>
  <cols>
    <col min="2" max="2" width="17.81640625" customWidth="1"/>
    <col min="4" max="4" width="10.6328125" bestFit="1" customWidth="1"/>
    <col min="8" max="8" width="17.81640625" bestFit="1" customWidth="1"/>
  </cols>
  <sheetData>
    <row r="1" spans="2:10" x14ac:dyDescent="0.75">
      <c r="B1" s="8" t="s">
        <v>152</v>
      </c>
    </row>
    <row r="2" spans="2:10" x14ac:dyDescent="0.75">
      <c r="B2" s="8" t="s">
        <v>153</v>
      </c>
    </row>
    <row r="3" spans="2:10" x14ac:dyDescent="0.75">
      <c r="B3" s="8" t="s">
        <v>154</v>
      </c>
    </row>
    <row r="5" spans="2:10" x14ac:dyDescent="0.75">
      <c r="C5" t="s">
        <v>151</v>
      </c>
      <c r="D5" s="2">
        <f t="shared" ref="D5:E5" si="0">AVERAGE(D18:D76)</f>
        <v>5.6610169491525424</v>
      </c>
      <c r="E5" s="2">
        <f t="shared" si="0"/>
        <v>4.2711864406779663</v>
      </c>
    </row>
    <row r="6" spans="2:10" x14ac:dyDescent="0.75">
      <c r="C6" t="s">
        <v>136</v>
      </c>
      <c r="D6" s="2">
        <f t="shared" ref="D6:E6" si="1">STDEV(D18:D76)</f>
        <v>1.2813001141287681</v>
      </c>
      <c r="E6" s="2">
        <f t="shared" si="1"/>
        <v>2.0995115070151051</v>
      </c>
    </row>
    <row r="7" spans="2:10" x14ac:dyDescent="0.75">
      <c r="D7" s="5"/>
      <c r="E7" s="5"/>
    </row>
    <row r="8" spans="2:10" x14ac:dyDescent="0.75">
      <c r="C8" s="4" t="s">
        <v>130</v>
      </c>
      <c r="D8" s="5">
        <f>SUM(D13:D15)/D16</f>
        <v>0.88135593220338981</v>
      </c>
      <c r="E8" s="5">
        <f t="shared" ref="E8" si="2">SUM(E13:E15)/E16</f>
        <v>0.50847457627118642</v>
      </c>
    </row>
    <row r="9" spans="2:10" x14ac:dyDescent="0.75">
      <c r="B9" t="s">
        <v>132</v>
      </c>
      <c r="C9">
        <v>1</v>
      </c>
      <c r="D9">
        <f>COUNTIF(D$18:D$76,$C9)</f>
        <v>1</v>
      </c>
      <c r="E9">
        <f>COUNTIF(E$18:E$76,$C9)</f>
        <v>8</v>
      </c>
      <c r="H9" t="s">
        <v>98</v>
      </c>
      <c r="I9">
        <f>COUNTIF($I$18:$I$76,H9)</f>
        <v>25</v>
      </c>
      <c r="J9" s="5">
        <f>I9/$I$13</f>
        <v>0.42372881355932202</v>
      </c>
    </row>
    <row r="10" spans="2:10" x14ac:dyDescent="0.75">
      <c r="B10">
        <v>2</v>
      </c>
      <c r="C10">
        <v>2</v>
      </c>
      <c r="D10">
        <f t="shared" ref="D10:D15" si="3">COUNTIF(D$18:D$76,$C10)</f>
        <v>0</v>
      </c>
      <c r="E10">
        <f t="shared" ref="E10:E15" si="4">COUNTIF(E$18:E$76,$C10)</f>
        <v>8</v>
      </c>
      <c r="H10" t="s">
        <v>113</v>
      </c>
      <c r="I10">
        <f>COUNTIF($I$18:$I$76,H10)</f>
        <v>8</v>
      </c>
      <c r="J10" s="5">
        <f>I10/$I$13</f>
        <v>0.13559322033898305</v>
      </c>
    </row>
    <row r="11" spans="2:10" x14ac:dyDescent="0.75">
      <c r="B11">
        <v>3</v>
      </c>
      <c r="C11">
        <v>3</v>
      </c>
      <c r="D11">
        <f t="shared" si="3"/>
        <v>3</v>
      </c>
      <c r="E11">
        <f t="shared" si="4"/>
        <v>7</v>
      </c>
      <c r="H11" t="s">
        <v>106</v>
      </c>
      <c r="I11">
        <f>COUNTIF($I$18:$I$76,H11)</f>
        <v>20</v>
      </c>
      <c r="J11" s="5">
        <f>I11/$I$13</f>
        <v>0.33898305084745761</v>
      </c>
    </row>
    <row r="12" spans="2:10" x14ac:dyDescent="0.75">
      <c r="B12" t="s">
        <v>134</v>
      </c>
      <c r="C12">
        <v>4</v>
      </c>
      <c r="D12">
        <f t="shared" si="3"/>
        <v>3</v>
      </c>
      <c r="E12">
        <f t="shared" si="4"/>
        <v>6</v>
      </c>
      <c r="H12" t="s">
        <v>110</v>
      </c>
      <c r="I12">
        <f>COUNTIF($I$18:$I$76,H12)</f>
        <v>6</v>
      </c>
      <c r="J12" s="5">
        <f>I12/$I$13</f>
        <v>0.10169491525423729</v>
      </c>
    </row>
    <row r="13" spans="2:10" x14ac:dyDescent="0.75">
      <c r="B13">
        <v>5</v>
      </c>
      <c r="C13">
        <v>5</v>
      </c>
      <c r="D13">
        <f t="shared" si="3"/>
        <v>19</v>
      </c>
      <c r="E13">
        <f t="shared" si="4"/>
        <v>7</v>
      </c>
      <c r="I13">
        <f>SUM(I9:I12)</f>
        <v>59</v>
      </c>
    </row>
    <row r="14" spans="2:10" x14ac:dyDescent="0.75">
      <c r="B14">
        <v>6</v>
      </c>
      <c r="C14">
        <v>6</v>
      </c>
      <c r="D14">
        <f t="shared" si="3"/>
        <v>14</v>
      </c>
      <c r="E14">
        <f t="shared" si="4"/>
        <v>13</v>
      </c>
    </row>
    <row r="15" spans="2:10" x14ac:dyDescent="0.75">
      <c r="B15" t="s">
        <v>133</v>
      </c>
      <c r="C15">
        <v>7</v>
      </c>
      <c r="D15">
        <f t="shared" si="3"/>
        <v>19</v>
      </c>
      <c r="E15">
        <f t="shared" si="4"/>
        <v>10</v>
      </c>
    </row>
    <row r="16" spans="2:10" x14ac:dyDescent="0.75">
      <c r="C16" s="3" t="s">
        <v>155</v>
      </c>
      <c r="D16">
        <f>SUM(D9:D15)</f>
        <v>59</v>
      </c>
      <c r="E16">
        <f t="shared" ref="E16" si="5">SUM(E9:E15)</f>
        <v>59</v>
      </c>
    </row>
    <row r="17" spans="4:9" x14ac:dyDescent="0.75">
      <c r="D17" t="s">
        <v>120</v>
      </c>
      <c r="E17" t="s">
        <v>121</v>
      </c>
      <c r="I17" t="s">
        <v>131</v>
      </c>
    </row>
    <row r="18" spans="4:9" x14ac:dyDescent="0.75">
      <c r="D18">
        <v>4</v>
      </c>
      <c r="E18">
        <v>4</v>
      </c>
      <c r="I18" t="s">
        <v>98</v>
      </c>
    </row>
    <row r="19" spans="4:9" x14ac:dyDescent="0.75">
      <c r="D19">
        <v>5</v>
      </c>
      <c r="E19">
        <v>6</v>
      </c>
      <c r="I19" t="s">
        <v>98</v>
      </c>
    </row>
    <row r="20" spans="4:9" x14ac:dyDescent="0.75">
      <c r="D20">
        <v>5</v>
      </c>
      <c r="E20">
        <v>5</v>
      </c>
      <c r="I20" t="s">
        <v>106</v>
      </c>
    </row>
    <row r="21" spans="4:9" x14ac:dyDescent="0.75">
      <c r="D21">
        <v>6</v>
      </c>
      <c r="E21">
        <v>7</v>
      </c>
      <c r="I21" t="s">
        <v>98</v>
      </c>
    </row>
    <row r="22" spans="4:9" x14ac:dyDescent="0.75">
      <c r="D22">
        <v>6</v>
      </c>
      <c r="E22">
        <v>5</v>
      </c>
      <c r="I22" t="s">
        <v>98</v>
      </c>
    </row>
    <row r="23" spans="4:9" x14ac:dyDescent="0.75">
      <c r="D23">
        <v>7</v>
      </c>
      <c r="E23">
        <v>2</v>
      </c>
      <c r="I23" t="s">
        <v>106</v>
      </c>
    </row>
    <row r="24" spans="4:9" x14ac:dyDescent="0.75">
      <c r="D24">
        <v>7</v>
      </c>
      <c r="E24">
        <v>1</v>
      </c>
      <c r="I24" t="s">
        <v>110</v>
      </c>
    </row>
    <row r="25" spans="4:9" x14ac:dyDescent="0.75">
      <c r="D25">
        <v>5</v>
      </c>
      <c r="E25">
        <v>3</v>
      </c>
      <c r="I25" t="s">
        <v>106</v>
      </c>
    </row>
    <row r="26" spans="4:9" x14ac:dyDescent="0.75">
      <c r="D26">
        <v>5</v>
      </c>
      <c r="E26">
        <v>3</v>
      </c>
      <c r="I26" t="s">
        <v>106</v>
      </c>
    </row>
    <row r="27" spans="4:9" x14ac:dyDescent="0.75">
      <c r="D27">
        <v>7</v>
      </c>
      <c r="E27">
        <v>7</v>
      </c>
      <c r="I27" t="s">
        <v>98</v>
      </c>
    </row>
    <row r="28" spans="4:9" x14ac:dyDescent="0.75">
      <c r="D28">
        <v>6</v>
      </c>
      <c r="E28">
        <v>5</v>
      </c>
      <c r="I28" t="s">
        <v>106</v>
      </c>
    </row>
    <row r="29" spans="4:9" x14ac:dyDescent="0.75">
      <c r="D29">
        <v>5</v>
      </c>
      <c r="E29">
        <v>5</v>
      </c>
      <c r="I29" t="s">
        <v>98</v>
      </c>
    </row>
    <row r="30" spans="4:9" x14ac:dyDescent="0.75">
      <c r="D30">
        <v>5</v>
      </c>
      <c r="E30">
        <v>1</v>
      </c>
      <c r="I30" t="s">
        <v>106</v>
      </c>
    </row>
    <row r="31" spans="4:9" x14ac:dyDescent="0.75">
      <c r="D31">
        <v>6</v>
      </c>
      <c r="E31">
        <v>6</v>
      </c>
      <c r="I31" t="s">
        <v>98</v>
      </c>
    </row>
    <row r="32" spans="4:9" x14ac:dyDescent="0.75">
      <c r="D32">
        <v>5</v>
      </c>
      <c r="E32">
        <v>3</v>
      </c>
      <c r="I32" t="s">
        <v>106</v>
      </c>
    </row>
    <row r="33" spans="4:9" x14ac:dyDescent="0.75">
      <c r="D33">
        <v>6</v>
      </c>
      <c r="E33">
        <v>7</v>
      </c>
      <c r="I33" t="s">
        <v>98</v>
      </c>
    </row>
    <row r="34" spans="4:9" x14ac:dyDescent="0.75">
      <c r="D34">
        <v>6</v>
      </c>
      <c r="E34">
        <v>7</v>
      </c>
      <c r="I34" t="s">
        <v>98</v>
      </c>
    </row>
    <row r="35" spans="4:9" x14ac:dyDescent="0.75">
      <c r="D35">
        <v>6</v>
      </c>
      <c r="E35">
        <v>7</v>
      </c>
      <c r="I35" t="s">
        <v>113</v>
      </c>
    </row>
    <row r="36" spans="4:9" x14ac:dyDescent="0.75">
      <c r="D36">
        <v>7</v>
      </c>
      <c r="E36">
        <v>7</v>
      </c>
      <c r="I36" t="s">
        <v>98</v>
      </c>
    </row>
    <row r="37" spans="4:9" x14ac:dyDescent="0.75">
      <c r="D37">
        <v>5</v>
      </c>
      <c r="E37">
        <v>6</v>
      </c>
      <c r="I37" t="s">
        <v>98</v>
      </c>
    </row>
    <row r="38" spans="4:9" x14ac:dyDescent="0.75">
      <c r="D38">
        <v>3</v>
      </c>
      <c r="E38">
        <v>1</v>
      </c>
      <c r="I38" t="s">
        <v>106</v>
      </c>
    </row>
    <row r="39" spans="4:9" x14ac:dyDescent="0.75">
      <c r="D39">
        <v>3</v>
      </c>
      <c r="E39">
        <v>4</v>
      </c>
      <c r="I39" t="s">
        <v>106</v>
      </c>
    </row>
    <row r="40" spans="4:9" x14ac:dyDescent="0.75">
      <c r="D40">
        <v>5</v>
      </c>
      <c r="E40">
        <v>6</v>
      </c>
      <c r="I40" t="s">
        <v>98</v>
      </c>
    </row>
    <row r="41" spans="4:9" x14ac:dyDescent="0.75">
      <c r="D41">
        <v>5</v>
      </c>
      <c r="E41">
        <v>6</v>
      </c>
      <c r="I41" t="s">
        <v>106</v>
      </c>
    </row>
    <row r="42" spans="4:9" x14ac:dyDescent="0.75">
      <c r="D42">
        <v>7</v>
      </c>
      <c r="E42">
        <v>6</v>
      </c>
      <c r="I42" t="s">
        <v>113</v>
      </c>
    </row>
    <row r="43" spans="4:9" x14ac:dyDescent="0.75">
      <c r="D43">
        <v>5</v>
      </c>
      <c r="E43">
        <v>1</v>
      </c>
      <c r="I43" t="s">
        <v>106</v>
      </c>
    </row>
    <row r="44" spans="4:9" x14ac:dyDescent="0.75">
      <c r="D44">
        <v>7</v>
      </c>
      <c r="E44">
        <v>3</v>
      </c>
      <c r="I44" t="s">
        <v>113</v>
      </c>
    </row>
    <row r="45" spans="4:9" x14ac:dyDescent="0.75">
      <c r="D45">
        <v>1</v>
      </c>
      <c r="E45">
        <v>4</v>
      </c>
      <c r="I45" t="s">
        <v>106</v>
      </c>
    </row>
    <row r="46" spans="4:9" x14ac:dyDescent="0.75">
      <c r="D46">
        <v>5</v>
      </c>
      <c r="E46">
        <v>4</v>
      </c>
      <c r="I46" t="s">
        <v>113</v>
      </c>
    </row>
    <row r="47" spans="4:9" x14ac:dyDescent="0.75">
      <c r="D47">
        <v>5</v>
      </c>
      <c r="E47">
        <v>1</v>
      </c>
      <c r="I47" t="s">
        <v>106</v>
      </c>
    </row>
    <row r="48" spans="4:9" x14ac:dyDescent="0.75">
      <c r="D48">
        <v>3</v>
      </c>
      <c r="E48">
        <v>1</v>
      </c>
      <c r="I48" t="s">
        <v>110</v>
      </c>
    </row>
    <row r="49" spans="4:9" x14ac:dyDescent="0.75">
      <c r="D49">
        <v>7</v>
      </c>
      <c r="E49">
        <v>3</v>
      </c>
      <c r="I49" t="s">
        <v>106</v>
      </c>
    </row>
    <row r="50" spans="4:9" x14ac:dyDescent="0.75">
      <c r="D50">
        <v>7</v>
      </c>
      <c r="E50">
        <v>1</v>
      </c>
      <c r="I50" t="s">
        <v>110</v>
      </c>
    </row>
    <row r="51" spans="4:9" x14ac:dyDescent="0.75">
      <c r="D51">
        <v>7</v>
      </c>
      <c r="E51">
        <v>6</v>
      </c>
      <c r="I51" t="s">
        <v>113</v>
      </c>
    </row>
    <row r="52" spans="4:9" x14ac:dyDescent="0.75">
      <c r="D52">
        <v>6</v>
      </c>
      <c r="E52">
        <v>6</v>
      </c>
      <c r="I52" t="s">
        <v>98</v>
      </c>
    </row>
    <row r="53" spans="4:9" x14ac:dyDescent="0.75">
      <c r="D53">
        <v>7</v>
      </c>
      <c r="E53">
        <v>2</v>
      </c>
      <c r="I53" t="s">
        <v>106</v>
      </c>
    </row>
    <row r="54" spans="4:9" x14ac:dyDescent="0.75">
      <c r="D54">
        <v>7</v>
      </c>
      <c r="E54">
        <v>5</v>
      </c>
      <c r="I54" t="s">
        <v>98</v>
      </c>
    </row>
    <row r="55" spans="4:9" x14ac:dyDescent="0.75">
      <c r="D55">
        <v>6</v>
      </c>
      <c r="E55">
        <v>6</v>
      </c>
      <c r="I55" t="s">
        <v>98</v>
      </c>
    </row>
    <row r="56" spans="4:9" x14ac:dyDescent="0.75">
      <c r="D56">
        <v>4</v>
      </c>
      <c r="E56">
        <v>2</v>
      </c>
      <c r="I56" t="s">
        <v>106</v>
      </c>
    </row>
    <row r="57" spans="4:9" x14ac:dyDescent="0.75">
      <c r="D57">
        <v>7</v>
      </c>
      <c r="E57">
        <v>7</v>
      </c>
      <c r="I57" t="s">
        <v>98</v>
      </c>
    </row>
    <row r="58" spans="4:9" x14ac:dyDescent="0.75">
      <c r="D58">
        <v>7</v>
      </c>
      <c r="E58">
        <v>7</v>
      </c>
      <c r="I58" t="s">
        <v>98</v>
      </c>
    </row>
    <row r="59" spans="4:9" x14ac:dyDescent="0.75">
      <c r="D59">
        <v>5</v>
      </c>
      <c r="E59">
        <v>2</v>
      </c>
      <c r="I59" t="s">
        <v>110</v>
      </c>
    </row>
    <row r="60" spans="4:9" x14ac:dyDescent="0.75">
      <c r="D60">
        <v>5</v>
      </c>
      <c r="E60">
        <v>6</v>
      </c>
      <c r="I60" t="s">
        <v>98</v>
      </c>
    </row>
    <row r="61" spans="4:9" x14ac:dyDescent="0.75">
      <c r="D61">
        <v>5</v>
      </c>
      <c r="E61">
        <v>3</v>
      </c>
      <c r="I61" t="s">
        <v>106</v>
      </c>
    </row>
    <row r="62" spans="4:9" x14ac:dyDescent="0.75">
      <c r="D62">
        <v>7</v>
      </c>
      <c r="E62">
        <v>6</v>
      </c>
      <c r="I62" t="s">
        <v>98</v>
      </c>
    </row>
    <row r="63" spans="4:9" x14ac:dyDescent="0.75">
      <c r="D63">
        <v>7</v>
      </c>
      <c r="E63">
        <v>3</v>
      </c>
      <c r="I63" t="s">
        <v>98</v>
      </c>
    </row>
    <row r="64" spans="4:9" x14ac:dyDescent="0.75">
      <c r="D64">
        <v>7</v>
      </c>
      <c r="E64">
        <v>4</v>
      </c>
      <c r="I64" t="s">
        <v>106</v>
      </c>
    </row>
    <row r="65" spans="4:9" x14ac:dyDescent="0.75">
      <c r="D65">
        <v>7</v>
      </c>
      <c r="E65">
        <v>2</v>
      </c>
      <c r="I65" t="s">
        <v>98</v>
      </c>
    </row>
    <row r="66" spans="4:9" x14ac:dyDescent="0.75">
      <c r="D66">
        <v>5</v>
      </c>
      <c r="E66">
        <v>2</v>
      </c>
      <c r="I66" t="s">
        <v>113</v>
      </c>
    </row>
    <row r="67" spans="4:9" x14ac:dyDescent="0.75">
      <c r="D67">
        <v>6</v>
      </c>
      <c r="E67">
        <v>6</v>
      </c>
      <c r="I67" t="s">
        <v>98</v>
      </c>
    </row>
    <row r="68" spans="4:9" x14ac:dyDescent="0.75">
      <c r="D68">
        <v>5</v>
      </c>
      <c r="E68">
        <v>2</v>
      </c>
      <c r="I68" t="s">
        <v>106</v>
      </c>
    </row>
    <row r="69" spans="4:9" x14ac:dyDescent="0.75">
      <c r="D69">
        <v>6</v>
      </c>
      <c r="E69">
        <v>7</v>
      </c>
      <c r="I69" t="s">
        <v>98</v>
      </c>
    </row>
    <row r="70" spans="4:9" x14ac:dyDescent="0.75">
      <c r="D70">
        <v>6</v>
      </c>
      <c r="E70">
        <v>4</v>
      </c>
      <c r="I70" t="s">
        <v>106</v>
      </c>
    </row>
    <row r="71" spans="4:9" x14ac:dyDescent="0.75">
      <c r="D71">
        <v>7</v>
      </c>
      <c r="E71">
        <v>5</v>
      </c>
      <c r="I71" t="s">
        <v>113</v>
      </c>
    </row>
    <row r="72" spans="4:9" x14ac:dyDescent="0.75">
      <c r="D72">
        <v>7</v>
      </c>
      <c r="E72">
        <v>7</v>
      </c>
      <c r="I72" t="s">
        <v>113</v>
      </c>
    </row>
    <row r="73" spans="4:9" x14ac:dyDescent="0.75">
      <c r="D73">
        <v>6</v>
      </c>
      <c r="E73">
        <v>6</v>
      </c>
      <c r="I73" t="s">
        <v>98</v>
      </c>
    </row>
    <row r="74" spans="4:9" x14ac:dyDescent="0.75">
      <c r="D74">
        <v>5</v>
      </c>
      <c r="E74">
        <v>5</v>
      </c>
      <c r="I74" t="s">
        <v>98</v>
      </c>
    </row>
    <row r="75" spans="4:9" x14ac:dyDescent="0.75">
      <c r="D75">
        <v>6</v>
      </c>
      <c r="E75">
        <v>2</v>
      </c>
      <c r="I75" t="s">
        <v>110</v>
      </c>
    </row>
    <row r="76" spans="4:9" x14ac:dyDescent="0.75">
      <c r="D76">
        <v>4</v>
      </c>
      <c r="E76">
        <v>1</v>
      </c>
      <c r="I76" t="s">
        <v>110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21431-7AC3-428F-A2D7-094FB4391161}">
  <dimension ref="A1:AF62"/>
  <sheetViews>
    <sheetView workbookViewId="0">
      <selection activeCell="A2" sqref="A2"/>
    </sheetView>
  </sheetViews>
  <sheetFormatPr defaultRowHeight="14.75" x14ac:dyDescent="0.75"/>
  <sheetData>
    <row r="1" spans="1:32" x14ac:dyDescent="0.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t="409.5" x14ac:dyDescent="0.75">
      <c r="A2" t="s">
        <v>32</v>
      </c>
      <c r="B2" t="s">
        <v>33</v>
      </c>
      <c r="C2" s="1" t="s">
        <v>34</v>
      </c>
      <c r="D2" s="1" t="s">
        <v>141</v>
      </c>
      <c r="E2" s="1" t="s">
        <v>35</v>
      </c>
      <c r="F2" s="1" t="s">
        <v>36</v>
      </c>
      <c r="G2" s="1" t="s">
        <v>37</v>
      </c>
      <c r="H2" s="1" t="s">
        <v>38</v>
      </c>
      <c r="I2" s="1" t="s">
        <v>39</v>
      </c>
      <c r="J2" s="1" t="s">
        <v>40</v>
      </c>
      <c r="K2" s="1" t="s">
        <v>41</v>
      </c>
      <c r="L2" s="1" t="s">
        <v>42</v>
      </c>
      <c r="M2" s="1" t="s">
        <v>43</v>
      </c>
      <c r="N2" s="1" t="s">
        <v>44</v>
      </c>
      <c r="O2" t="s">
        <v>45</v>
      </c>
      <c r="P2" t="s">
        <v>46</v>
      </c>
      <c r="Q2" s="1" t="s">
        <v>47</v>
      </c>
      <c r="R2" s="1" t="s">
        <v>48</v>
      </c>
      <c r="S2" s="1" t="s">
        <v>49</v>
      </c>
      <c r="T2" s="1" t="s">
        <v>50</v>
      </c>
      <c r="U2" s="1" t="s">
        <v>51</v>
      </c>
      <c r="V2" s="1" t="s">
        <v>52</v>
      </c>
      <c r="W2" s="1" t="s">
        <v>53</v>
      </c>
      <c r="X2" s="1" t="s">
        <v>54</v>
      </c>
      <c r="Y2" s="1" t="s">
        <v>55</v>
      </c>
      <c r="Z2" s="1" t="s">
        <v>56</v>
      </c>
      <c r="AA2" s="1" t="s">
        <v>57</v>
      </c>
      <c r="AB2" s="1" t="s">
        <v>58</v>
      </c>
      <c r="AC2" t="s">
        <v>59</v>
      </c>
      <c r="AD2" t="s">
        <v>60</v>
      </c>
      <c r="AE2" t="s">
        <v>61</v>
      </c>
      <c r="AF2" t="s">
        <v>62</v>
      </c>
    </row>
    <row r="3" spans="1:32" x14ac:dyDescent="0.75">
      <c r="A3" t="s">
        <v>63</v>
      </c>
      <c r="B3" t="s">
        <v>64</v>
      </c>
      <c r="C3" t="s">
        <v>65</v>
      </c>
      <c r="D3" t="s">
        <v>66</v>
      </c>
      <c r="E3" t="s">
        <v>67</v>
      </c>
      <c r="F3" t="s">
        <v>68</v>
      </c>
      <c r="G3" t="s">
        <v>69</v>
      </c>
      <c r="H3" t="s">
        <v>70</v>
      </c>
      <c r="I3" t="s">
        <v>71</v>
      </c>
      <c r="J3" t="s">
        <v>72</v>
      </c>
      <c r="K3" t="s">
        <v>73</v>
      </c>
      <c r="L3" t="s">
        <v>74</v>
      </c>
      <c r="M3" t="s">
        <v>75</v>
      </c>
      <c r="N3" t="s">
        <v>76</v>
      </c>
      <c r="O3" t="s">
        <v>77</v>
      </c>
      <c r="P3" t="s">
        <v>78</v>
      </c>
      <c r="Q3" t="s">
        <v>79</v>
      </c>
      <c r="R3" t="s">
        <v>80</v>
      </c>
      <c r="S3" t="s">
        <v>81</v>
      </c>
      <c r="T3" t="s">
        <v>82</v>
      </c>
      <c r="U3" t="s">
        <v>83</v>
      </c>
      <c r="V3" t="s">
        <v>84</v>
      </c>
      <c r="W3" t="s">
        <v>85</v>
      </c>
      <c r="X3" t="s">
        <v>86</v>
      </c>
      <c r="Y3" t="s">
        <v>87</v>
      </c>
      <c r="Z3" t="s">
        <v>88</v>
      </c>
      <c r="AA3" t="s">
        <v>89</v>
      </c>
      <c r="AB3" t="s">
        <v>90</v>
      </c>
      <c r="AC3" t="s">
        <v>91</v>
      </c>
      <c r="AD3" t="s">
        <v>92</v>
      </c>
      <c r="AE3" t="s">
        <v>93</v>
      </c>
      <c r="AF3" t="s">
        <v>94</v>
      </c>
    </row>
    <row r="4" spans="1:32" x14ac:dyDescent="0.75">
      <c r="A4" t="s">
        <v>95</v>
      </c>
      <c r="B4" t="s">
        <v>95</v>
      </c>
      <c r="N4">
        <v>4</v>
      </c>
      <c r="O4" t="s">
        <v>96</v>
      </c>
      <c r="P4" t="s">
        <v>97</v>
      </c>
      <c r="T4">
        <v>5</v>
      </c>
      <c r="AC4" t="s">
        <v>98</v>
      </c>
      <c r="AD4">
        <v>21</v>
      </c>
      <c r="AE4" t="s">
        <v>99</v>
      </c>
      <c r="AF4" t="s">
        <v>100</v>
      </c>
    </row>
    <row r="5" spans="1:32" x14ac:dyDescent="0.75">
      <c r="A5">
        <v>5</v>
      </c>
      <c r="B5">
        <v>6</v>
      </c>
      <c r="D5">
        <v>4</v>
      </c>
      <c r="O5" t="s">
        <v>96</v>
      </c>
      <c r="P5" t="s">
        <v>102</v>
      </c>
      <c r="V5">
        <v>1</v>
      </c>
      <c r="AC5" t="s">
        <v>98</v>
      </c>
      <c r="AD5">
        <v>61</v>
      </c>
      <c r="AE5" t="s">
        <v>104</v>
      </c>
      <c r="AF5" t="s">
        <v>100</v>
      </c>
    </row>
    <row r="6" spans="1:32" x14ac:dyDescent="0.75">
      <c r="A6">
        <v>5</v>
      </c>
      <c r="B6">
        <v>5</v>
      </c>
      <c r="K6">
        <v>5</v>
      </c>
      <c r="O6" t="s">
        <v>96</v>
      </c>
      <c r="P6" t="s">
        <v>105</v>
      </c>
      <c r="X6">
        <v>4</v>
      </c>
      <c r="AC6" t="s">
        <v>106</v>
      </c>
      <c r="AD6">
        <v>20</v>
      </c>
      <c r="AE6" t="s">
        <v>99</v>
      </c>
      <c r="AF6" t="s">
        <v>100</v>
      </c>
    </row>
    <row r="7" spans="1:32" x14ac:dyDescent="0.75">
      <c r="A7">
        <v>6</v>
      </c>
      <c r="B7" t="s">
        <v>101</v>
      </c>
      <c r="M7">
        <v>6</v>
      </c>
      <c r="O7" t="s">
        <v>96</v>
      </c>
      <c r="P7" t="s">
        <v>97</v>
      </c>
      <c r="AA7">
        <v>5</v>
      </c>
      <c r="AC7" t="s">
        <v>98</v>
      </c>
      <c r="AD7">
        <v>58</v>
      </c>
      <c r="AE7" t="s">
        <v>104</v>
      </c>
      <c r="AF7" t="s">
        <v>100</v>
      </c>
    </row>
    <row r="8" spans="1:32" x14ac:dyDescent="0.75">
      <c r="A8">
        <v>6</v>
      </c>
      <c r="B8">
        <v>5</v>
      </c>
      <c r="F8">
        <v>6</v>
      </c>
      <c r="O8" t="s">
        <v>96</v>
      </c>
      <c r="P8" t="s">
        <v>97</v>
      </c>
      <c r="S8">
        <v>1</v>
      </c>
      <c r="AC8" t="s">
        <v>98</v>
      </c>
      <c r="AD8">
        <v>10</v>
      </c>
      <c r="AE8" t="s">
        <v>99</v>
      </c>
      <c r="AF8" t="s">
        <v>100</v>
      </c>
    </row>
    <row r="9" spans="1:32" x14ac:dyDescent="0.75">
      <c r="A9" t="s">
        <v>101</v>
      </c>
      <c r="B9">
        <v>2</v>
      </c>
      <c r="J9">
        <v>4</v>
      </c>
      <c r="O9" t="s">
        <v>96</v>
      </c>
      <c r="P9" t="s">
        <v>107</v>
      </c>
      <c r="R9">
        <v>2</v>
      </c>
      <c r="AC9" t="s">
        <v>106</v>
      </c>
      <c r="AD9">
        <v>19</v>
      </c>
      <c r="AE9" t="s">
        <v>104</v>
      </c>
      <c r="AF9" t="s">
        <v>100</v>
      </c>
    </row>
    <row r="10" spans="1:32" x14ac:dyDescent="0.75">
      <c r="A10" t="s">
        <v>101</v>
      </c>
      <c r="B10" t="s">
        <v>108</v>
      </c>
      <c r="G10">
        <v>3</v>
      </c>
      <c r="O10" t="s">
        <v>96</v>
      </c>
      <c r="P10" t="s">
        <v>109</v>
      </c>
      <c r="Z10">
        <v>6</v>
      </c>
      <c r="AC10" t="s">
        <v>110</v>
      </c>
      <c r="AD10">
        <v>34</v>
      </c>
      <c r="AE10" t="s">
        <v>104</v>
      </c>
      <c r="AF10" t="s">
        <v>100</v>
      </c>
    </row>
    <row r="11" spans="1:32" x14ac:dyDescent="0.75">
      <c r="A11">
        <v>5</v>
      </c>
      <c r="B11">
        <v>3</v>
      </c>
      <c r="I11">
        <v>6</v>
      </c>
      <c r="O11" t="s">
        <v>96</v>
      </c>
      <c r="P11" t="s">
        <v>97</v>
      </c>
      <c r="Y11">
        <v>2</v>
      </c>
      <c r="AC11" t="s">
        <v>106</v>
      </c>
      <c r="AD11">
        <v>59</v>
      </c>
      <c r="AE11" t="s">
        <v>99</v>
      </c>
      <c r="AF11" t="s">
        <v>100</v>
      </c>
    </row>
    <row r="12" spans="1:32" x14ac:dyDescent="0.75">
      <c r="A12">
        <v>5</v>
      </c>
      <c r="B12">
        <v>3</v>
      </c>
      <c r="E12">
        <v>3</v>
      </c>
      <c r="O12" t="s">
        <v>96</v>
      </c>
      <c r="P12" t="s">
        <v>102</v>
      </c>
      <c r="U12">
        <v>4</v>
      </c>
      <c r="AC12" t="s">
        <v>106</v>
      </c>
      <c r="AD12">
        <v>30</v>
      </c>
      <c r="AE12" t="s">
        <v>99</v>
      </c>
      <c r="AF12" t="s">
        <v>100</v>
      </c>
    </row>
    <row r="13" spans="1:32" x14ac:dyDescent="0.75">
      <c r="A13" t="s">
        <v>101</v>
      </c>
      <c r="B13" t="s">
        <v>101</v>
      </c>
      <c r="C13">
        <v>5</v>
      </c>
      <c r="O13" t="s">
        <v>96</v>
      </c>
      <c r="P13" t="s">
        <v>97</v>
      </c>
      <c r="Z13">
        <v>7</v>
      </c>
      <c r="AC13" t="s">
        <v>98</v>
      </c>
      <c r="AD13">
        <v>15</v>
      </c>
      <c r="AE13" t="s">
        <v>104</v>
      </c>
      <c r="AF13" t="s">
        <v>100</v>
      </c>
    </row>
    <row r="14" spans="1:32" x14ac:dyDescent="0.75">
      <c r="A14">
        <v>6</v>
      </c>
      <c r="B14">
        <v>5</v>
      </c>
      <c r="I14" t="s">
        <v>111</v>
      </c>
      <c r="O14" t="s">
        <v>96</v>
      </c>
      <c r="P14" t="s">
        <v>112</v>
      </c>
      <c r="Q14">
        <v>4</v>
      </c>
      <c r="AC14" t="s">
        <v>106</v>
      </c>
      <c r="AD14">
        <v>26</v>
      </c>
      <c r="AE14" t="s">
        <v>104</v>
      </c>
      <c r="AF14" t="s">
        <v>100</v>
      </c>
    </row>
    <row r="15" spans="1:32" x14ac:dyDescent="0.75">
      <c r="A15">
        <v>5</v>
      </c>
      <c r="B15">
        <v>5</v>
      </c>
      <c r="N15">
        <v>5</v>
      </c>
      <c r="O15" t="s">
        <v>96</v>
      </c>
      <c r="P15" t="s">
        <v>97</v>
      </c>
      <c r="AA15">
        <v>3</v>
      </c>
      <c r="AC15" t="s">
        <v>98</v>
      </c>
      <c r="AD15">
        <v>40</v>
      </c>
      <c r="AE15" t="s">
        <v>104</v>
      </c>
      <c r="AF15" t="s">
        <v>100</v>
      </c>
    </row>
    <row r="16" spans="1:32" x14ac:dyDescent="0.75">
      <c r="A16">
        <v>5</v>
      </c>
      <c r="B16" t="s">
        <v>108</v>
      </c>
      <c r="F16" t="s">
        <v>111</v>
      </c>
      <c r="O16" t="s">
        <v>96</v>
      </c>
      <c r="P16" t="s">
        <v>97</v>
      </c>
      <c r="X16">
        <v>1</v>
      </c>
      <c r="AC16" t="s">
        <v>106</v>
      </c>
      <c r="AD16">
        <v>19</v>
      </c>
      <c r="AE16" t="s">
        <v>104</v>
      </c>
      <c r="AF16" t="s">
        <v>100</v>
      </c>
    </row>
    <row r="17" spans="1:32" x14ac:dyDescent="0.75">
      <c r="A17">
        <v>6</v>
      </c>
      <c r="B17">
        <v>6</v>
      </c>
      <c r="M17">
        <v>5</v>
      </c>
      <c r="O17" t="s">
        <v>96</v>
      </c>
      <c r="P17" t="s">
        <v>97</v>
      </c>
      <c r="U17">
        <v>3</v>
      </c>
      <c r="AC17" t="s">
        <v>98</v>
      </c>
      <c r="AD17">
        <v>36</v>
      </c>
      <c r="AE17" t="s">
        <v>104</v>
      </c>
      <c r="AF17" t="s">
        <v>100</v>
      </c>
    </row>
    <row r="18" spans="1:32" x14ac:dyDescent="0.75">
      <c r="A18">
        <v>5</v>
      </c>
      <c r="B18">
        <v>3</v>
      </c>
      <c r="H18">
        <v>4</v>
      </c>
      <c r="O18" t="s">
        <v>96</v>
      </c>
      <c r="P18" t="s">
        <v>102</v>
      </c>
      <c r="R18">
        <v>3</v>
      </c>
      <c r="AC18" t="s">
        <v>106</v>
      </c>
      <c r="AD18">
        <v>10</v>
      </c>
      <c r="AE18" t="s">
        <v>104</v>
      </c>
      <c r="AF18" t="s">
        <v>100</v>
      </c>
    </row>
    <row r="19" spans="1:32" x14ac:dyDescent="0.75">
      <c r="A19">
        <v>6</v>
      </c>
      <c r="B19" t="s">
        <v>101</v>
      </c>
      <c r="G19">
        <v>5</v>
      </c>
      <c r="O19" t="s">
        <v>96</v>
      </c>
      <c r="P19" t="s">
        <v>97</v>
      </c>
      <c r="W19">
        <v>6</v>
      </c>
      <c r="AC19" t="s">
        <v>98</v>
      </c>
      <c r="AD19">
        <v>51</v>
      </c>
      <c r="AE19" t="s">
        <v>104</v>
      </c>
      <c r="AF19" t="s">
        <v>100</v>
      </c>
    </row>
    <row r="20" spans="1:32" x14ac:dyDescent="0.75">
      <c r="A20">
        <v>6</v>
      </c>
      <c r="B20" t="s">
        <v>101</v>
      </c>
      <c r="N20">
        <v>5</v>
      </c>
      <c r="O20" t="s">
        <v>96</v>
      </c>
      <c r="P20" t="s">
        <v>97</v>
      </c>
      <c r="U20">
        <v>2</v>
      </c>
      <c r="AC20" t="s">
        <v>98</v>
      </c>
      <c r="AD20">
        <v>25</v>
      </c>
      <c r="AE20" t="s">
        <v>104</v>
      </c>
      <c r="AF20" t="s">
        <v>100</v>
      </c>
    </row>
    <row r="21" spans="1:32" x14ac:dyDescent="0.75">
      <c r="A21">
        <v>6</v>
      </c>
      <c r="B21" t="s">
        <v>101</v>
      </c>
      <c r="G21">
        <v>2</v>
      </c>
      <c r="O21" t="s">
        <v>96</v>
      </c>
      <c r="P21" t="s">
        <v>97</v>
      </c>
      <c r="AB21">
        <v>1</v>
      </c>
      <c r="AC21" t="s">
        <v>113</v>
      </c>
      <c r="AD21">
        <v>45</v>
      </c>
      <c r="AE21" t="s">
        <v>104</v>
      </c>
      <c r="AF21" t="s">
        <v>100</v>
      </c>
    </row>
    <row r="22" spans="1:32" x14ac:dyDescent="0.75">
      <c r="A22" t="s">
        <v>101</v>
      </c>
      <c r="B22" t="s">
        <v>101</v>
      </c>
      <c r="E22">
        <v>5</v>
      </c>
      <c r="O22" t="s">
        <v>96</v>
      </c>
      <c r="P22" t="s">
        <v>97</v>
      </c>
      <c r="Q22">
        <v>3</v>
      </c>
      <c r="AC22" t="s">
        <v>98</v>
      </c>
      <c r="AD22">
        <v>40</v>
      </c>
      <c r="AE22" t="s">
        <v>104</v>
      </c>
      <c r="AF22" t="s">
        <v>114</v>
      </c>
    </row>
    <row r="23" spans="1:32" x14ac:dyDescent="0.75">
      <c r="A23">
        <v>5</v>
      </c>
      <c r="B23">
        <v>6</v>
      </c>
      <c r="D23">
        <v>5</v>
      </c>
      <c r="O23" t="s">
        <v>96</v>
      </c>
      <c r="P23" t="s">
        <v>97</v>
      </c>
      <c r="W23">
        <v>3</v>
      </c>
      <c r="AC23" t="s">
        <v>98</v>
      </c>
      <c r="AD23">
        <v>15</v>
      </c>
      <c r="AE23" t="s">
        <v>104</v>
      </c>
      <c r="AF23" t="s">
        <v>100</v>
      </c>
    </row>
    <row r="24" spans="1:32" x14ac:dyDescent="0.75">
      <c r="A24">
        <v>3</v>
      </c>
      <c r="B24" t="s">
        <v>108</v>
      </c>
      <c r="H24">
        <v>3</v>
      </c>
      <c r="O24" t="s">
        <v>96</v>
      </c>
      <c r="P24" t="s">
        <v>102</v>
      </c>
      <c r="Z24">
        <v>4</v>
      </c>
      <c r="AC24" t="s">
        <v>106</v>
      </c>
      <c r="AD24">
        <v>16</v>
      </c>
      <c r="AE24" t="s">
        <v>104</v>
      </c>
      <c r="AF24" t="s">
        <v>100</v>
      </c>
    </row>
    <row r="25" spans="1:32" x14ac:dyDescent="0.75">
      <c r="A25">
        <v>3</v>
      </c>
      <c r="B25" t="s">
        <v>95</v>
      </c>
      <c r="C25">
        <v>5</v>
      </c>
      <c r="O25" t="s">
        <v>96</v>
      </c>
      <c r="P25" t="s">
        <v>112</v>
      </c>
      <c r="Y25">
        <v>1</v>
      </c>
      <c r="AC25" t="s">
        <v>106</v>
      </c>
      <c r="AD25">
        <v>31</v>
      </c>
      <c r="AE25" t="s">
        <v>104</v>
      </c>
      <c r="AF25" t="s">
        <v>100</v>
      </c>
    </row>
    <row r="26" spans="1:32" x14ac:dyDescent="0.75">
      <c r="A26">
        <v>5</v>
      </c>
      <c r="B26">
        <v>6</v>
      </c>
      <c r="M26">
        <v>5</v>
      </c>
      <c r="O26" t="s">
        <v>96</v>
      </c>
      <c r="P26" t="s">
        <v>109</v>
      </c>
      <c r="R26">
        <v>3</v>
      </c>
      <c r="AC26" t="s">
        <v>98</v>
      </c>
      <c r="AD26">
        <v>40</v>
      </c>
      <c r="AE26" t="s">
        <v>99</v>
      </c>
      <c r="AF26" t="s">
        <v>100</v>
      </c>
    </row>
    <row r="27" spans="1:32" x14ac:dyDescent="0.75">
      <c r="A27">
        <v>5</v>
      </c>
      <c r="B27">
        <v>6</v>
      </c>
      <c r="D27">
        <v>5</v>
      </c>
      <c r="O27" t="s">
        <v>96</v>
      </c>
      <c r="P27" t="s">
        <v>102</v>
      </c>
      <c r="T27">
        <v>6</v>
      </c>
      <c r="AC27" t="s">
        <v>106</v>
      </c>
      <c r="AD27">
        <v>30</v>
      </c>
      <c r="AE27" t="s">
        <v>104</v>
      </c>
      <c r="AF27" t="s">
        <v>100</v>
      </c>
    </row>
    <row r="28" spans="1:32" x14ac:dyDescent="0.75">
      <c r="A28" t="s">
        <v>101</v>
      </c>
      <c r="B28">
        <v>6</v>
      </c>
      <c r="F28" t="s">
        <v>111</v>
      </c>
      <c r="O28" t="s">
        <v>96</v>
      </c>
      <c r="P28" t="s">
        <v>102</v>
      </c>
      <c r="Z28">
        <v>6</v>
      </c>
      <c r="AC28" t="s">
        <v>113</v>
      </c>
      <c r="AD28">
        <v>56</v>
      </c>
      <c r="AE28" t="s">
        <v>104</v>
      </c>
      <c r="AF28" t="s">
        <v>100</v>
      </c>
    </row>
    <row r="29" spans="1:32" x14ac:dyDescent="0.75">
      <c r="A29">
        <v>5</v>
      </c>
      <c r="B29" t="s">
        <v>108</v>
      </c>
      <c r="H29">
        <v>3</v>
      </c>
      <c r="O29" t="s">
        <v>96</v>
      </c>
      <c r="P29" t="s">
        <v>102</v>
      </c>
      <c r="T29">
        <v>5</v>
      </c>
      <c r="AC29" t="s">
        <v>106</v>
      </c>
      <c r="AD29">
        <v>30</v>
      </c>
      <c r="AE29" t="s">
        <v>104</v>
      </c>
      <c r="AF29" t="s">
        <v>100</v>
      </c>
    </row>
    <row r="30" spans="1:32" x14ac:dyDescent="0.75">
      <c r="A30" t="s">
        <v>101</v>
      </c>
      <c r="B30">
        <v>3</v>
      </c>
      <c r="J30">
        <v>5</v>
      </c>
      <c r="O30" t="s">
        <v>96</v>
      </c>
      <c r="P30" t="s">
        <v>97</v>
      </c>
      <c r="U30">
        <v>5</v>
      </c>
      <c r="AC30" t="s">
        <v>113</v>
      </c>
      <c r="AD30">
        <v>59</v>
      </c>
      <c r="AE30" t="s">
        <v>104</v>
      </c>
      <c r="AF30" t="s">
        <v>100</v>
      </c>
    </row>
    <row r="31" spans="1:32" x14ac:dyDescent="0.75">
      <c r="A31" t="s">
        <v>108</v>
      </c>
      <c r="B31" t="s">
        <v>95</v>
      </c>
      <c r="E31" t="s">
        <v>103</v>
      </c>
      <c r="O31" t="s">
        <v>96</v>
      </c>
      <c r="P31" t="s">
        <v>97</v>
      </c>
      <c r="W31">
        <v>1</v>
      </c>
      <c r="AC31" t="s">
        <v>106</v>
      </c>
      <c r="AE31" t="s">
        <v>99</v>
      </c>
      <c r="AF31" t="s">
        <v>100</v>
      </c>
    </row>
    <row r="32" spans="1:32" x14ac:dyDescent="0.75">
      <c r="A32">
        <v>5</v>
      </c>
      <c r="B32" t="s">
        <v>95</v>
      </c>
      <c r="N32">
        <v>5</v>
      </c>
      <c r="O32" t="s">
        <v>96</v>
      </c>
      <c r="P32" t="s">
        <v>115</v>
      </c>
      <c r="S32">
        <v>4</v>
      </c>
      <c r="AC32" t="s">
        <v>113</v>
      </c>
      <c r="AD32">
        <v>30</v>
      </c>
      <c r="AE32" t="s">
        <v>99</v>
      </c>
      <c r="AF32" t="s">
        <v>100</v>
      </c>
    </row>
    <row r="33" spans="1:32" x14ac:dyDescent="0.75">
      <c r="A33">
        <v>5</v>
      </c>
      <c r="B33" t="s">
        <v>108</v>
      </c>
      <c r="K33">
        <v>4</v>
      </c>
      <c r="O33" t="s">
        <v>96</v>
      </c>
      <c r="P33" t="s">
        <v>102</v>
      </c>
      <c r="V33">
        <v>2</v>
      </c>
      <c r="AC33" t="s">
        <v>106</v>
      </c>
      <c r="AD33">
        <v>16</v>
      </c>
      <c r="AE33" t="s">
        <v>99</v>
      </c>
      <c r="AF33" t="s">
        <v>100</v>
      </c>
    </row>
    <row r="34" spans="1:32" x14ac:dyDescent="0.75">
      <c r="A34">
        <v>3</v>
      </c>
      <c r="B34" t="s">
        <v>108</v>
      </c>
      <c r="K34">
        <v>2</v>
      </c>
      <c r="O34" t="s">
        <v>96</v>
      </c>
      <c r="P34" t="s">
        <v>97</v>
      </c>
      <c r="AB34">
        <v>2</v>
      </c>
      <c r="AC34" t="s">
        <v>110</v>
      </c>
      <c r="AD34">
        <v>15</v>
      </c>
      <c r="AE34" t="s">
        <v>99</v>
      </c>
      <c r="AF34" t="s">
        <v>100</v>
      </c>
    </row>
    <row r="35" spans="1:32" x14ac:dyDescent="0.75">
      <c r="A35" t="s">
        <v>101</v>
      </c>
      <c r="B35">
        <v>3</v>
      </c>
      <c r="K35">
        <v>4</v>
      </c>
      <c r="O35" t="s">
        <v>96</v>
      </c>
      <c r="P35" t="s">
        <v>116</v>
      </c>
      <c r="Y35">
        <v>3</v>
      </c>
      <c r="AC35" t="s">
        <v>106</v>
      </c>
      <c r="AD35">
        <v>30</v>
      </c>
      <c r="AE35" t="s">
        <v>104</v>
      </c>
      <c r="AF35" t="s">
        <v>100</v>
      </c>
    </row>
    <row r="36" spans="1:32" x14ac:dyDescent="0.75">
      <c r="A36" t="s">
        <v>101</v>
      </c>
      <c r="B36" t="s">
        <v>108</v>
      </c>
      <c r="D36">
        <v>5</v>
      </c>
      <c r="O36" t="s">
        <v>96</v>
      </c>
      <c r="P36" t="s">
        <v>102</v>
      </c>
      <c r="S36">
        <v>3</v>
      </c>
      <c r="AC36" t="s">
        <v>110</v>
      </c>
      <c r="AD36">
        <v>30</v>
      </c>
      <c r="AE36" t="s">
        <v>104</v>
      </c>
      <c r="AF36" t="s">
        <v>100</v>
      </c>
    </row>
    <row r="37" spans="1:32" x14ac:dyDescent="0.75">
      <c r="A37" t="s">
        <v>101</v>
      </c>
      <c r="B37">
        <v>6</v>
      </c>
      <c r="L37">
        <v>6</v>
      </c>
      <c r="O37" t="s">
        <v>96</v>
      </c>
      <c r="P37" t="s">
        <v>112</v>
      </c>
      <c r="AA37">
        <v>1</v>
      </c>
      <c r="AC37" t="s">
        <v>113</v>
      </c>
      <c r="AD37">
        <v>28</v>
      </c>
      <c r="AE37" t="s">
        <v>104</v>
      </c>
      <c r="AF37" t="s">
        <v>100</v>
      </c>
    </row>
    <row r="38" spans="1:32" x14ac:dyDescent="0.75">
      <c r="A38">
        <v>6</v>
      </c>
      <c r="B38">
        <v>6</v>
      </c>
      <c r="N38">
        <v>5</v>
      </c>
      <c r="O38" t="s">
        <v>96</v>
      </c>
      <c r="P38" t="s">
        <v>109</v>
      </c>
      <c r="W38">
        <v>4</v>
      </c>
      <c r="AC38" t="s">
        <v>98</v>
      </c>
      <c r="AD38">
        <v>29</v>
      </c>
      <c r="AE38" t="s">
        <v>104</v>
      </c>
      <c r="AF38" t="s">
        <v>100</v>
      </c>
    </row>
    <row r="39" spans="1:32" x14ac:dyDescent="0.75">
      <c r="A39" t="s">
        <v>101</v>
      </c>
      <c r="B39">
        <v>2</v>
      </c>
      <c r="H39">
        <v>2</v>
      </c>
      <c r="O39" t="s">
        <v>96</v>
      </c>
      <c r="P39" t="s">
        <v>102</v>
      </c>
      <c r="Y39">
        <v>3</v>
      </c>
      <c r="AC39" t="s">
        <v>106</v>
      </c>
      <c r="AD39">
        <v>19</v>
      </c>
      <c r="AE39" t="s">
        <v>99</v>
      </c>
      <c r="AF39" t="s">
        <v>100</v>
      </c>
    </row>
    <row r="40" spans="1:32" x14ac:dyDescent="0.75">
      <c r="A40" t="s">
        <v>101</v>
      </c>
      <c r="B40">
        <v>5</v>
      </c>
      <c r="M40">
        <v>5</v>
      </c>
      <c r="O40" t="s">
        <v>96</v>
      </c>
      <c r="P40" t="s">
        <v>109</v>
      </c>
      <c r="Z40">
        <v>1</v>
      </c>
      <c r="AC40" t="s">
        <v>98</v>
      </c>
      <c r="AD40">
        <v>41</v>
      </c>
      <c r="AE40" t="s">
        <v>99</v>
      </c>
      <c r="AF40" t="s">
        <v>100</v>
      </c>
    </row>
    <row r="41" spans="1:32" x14ac:dyDescent="0.75">
      <c r="A41">
        <v>6</v>
      </c>
      <c r="B41">
        <v>6</v>
      </c>
      <c r="C41" t="s">
        <v>111</v>
      </c>
      <c r="O41" t="s">
        <v>96</v>
      </c>
      <c r="P41" t="s">
        <v>97</v>
      </c>
      <c r="AA41">
        <v>4</v>
      </c>
      <c r="AC41" t="s">
        <v>98</v>
      </c>
      <c r="AD41">
        <v>20</v>
      </c>
      <c r="AE41" t="s">
        <v>104</v>
      </c>
      <c r="AF41" t="s">
        <v>100</v>
      </c>
    </row>
    <row r="42" spans="1:32" x14ac:dyDescent="0.75">
      <c r="A42" t="s">
        <v>95</v>
      </c>
      <c r="B42">
        <v>2</v>
      </c>
      <c r="J42">
        <v>3</v>
      </c>
      <c r="O42" t="s">
        <v>96</v>
      </c>
      <c r="P42" t="s">
        <v>97</v>
      </c>
      <c r="X42">
        <v>2</v>
      </c>
      <c r="AC42" t="s">
        <v>106</v>
      </c>
      <c r="AD42">
        <v>3</v>
      </c>
      <c r="AF42" t="s">
        <v>100</v>
      </c>
    </row>
    <row r="43" spans="1:32" x14ac:dyDescent="0.75">
      <c r="A43" t="s">
        <v>101</v>
      </c>
      <c r="B43" t="s">
        <v>101</v>
      </c>
      <c r="D43">
        <v>4</v>
      </c>
      <c r="O43" t="s">
        <v>96</v>
      </c>
      <c r="P43" t="s">
        <v>97</v>
      </c>
      <c r="U43">
        <v>3</v>
      </c>
      <c r="AC43" t="s">
        <v>98</v>
      </c>
      <c r="AD43">
        <v>60</v>
      </c>
      <c r="AE43" t="s">
        <v>104</v>
      </c>
      <c r="AF43" t="s">
        <v>100</v>
      </c>
    </row>
    <row r="44" spans="1:32" x14ac:dyDescent="0.75">
      <c r="A44" t="s">
        <v>101</v>
      </c>
      <c r="B44" t="s">
        <v>101</v>
      </c>
      <c r="C44" t="s">
        <v>111</v>
      </c>
      <c r="O44" t="s">
        <v>96</v>
      </c>
      <c r="P44" t="s">
        <v>97</v>
      </c>
      <c r="Z44">
        <v>2</v>
      </c>
      <c r="AC44" t="s">
        <v>98</v>
      </c>
      <c r="AD44">
        <v>32</v>
      </c>
      <c r="AE44" t="s">
        <v>104</v>
      </c>
      <c r="AF44" t="s">
        <v>100</v>
      </c>
    </row>
    <row r="45" spans="1:32" x14ac:dyDescent="0.75">
      <c r="A45">
        <v>5</v>
      </c>
      <c r="B45">
        <v>2</v>
      </c>
      <c r="M45" t="s">
        <v>103</v>
      </c>
      <c r="O45" t="s">
        <v>96</v>
      </c>
      <c r="P45" t="s">
        <v>97</v>
      </c>
      <c r="S45">
        <v>1</v>
      </c>
      <c r="AC45" t="s">
        <v>110</v>
      </c>
      <c r="AD45">
        <v>10</v>
      </c>
      <c r="AE45" t="s">
        <v>104</v>
      </c>
      <c r="AF45" t="s">
        <v>100</v>
      </c>
    </row>
    <row r="46" spans="1:32" x14ac:dyDescent="0.75">
      <c r="A46">
        <v>5</v>
      </c>
      <c r="B46">
        <v>6</v>
      </c>
      <c r="N46">
        <v>3</v>
      </c>
      <c r="O46" t="s">
        <v>96</v>
      </c>
      <c r="P46" t="s">
        <v>102</v>
      </c>
      <c r="AA46">
        <v>3</v>
      </c>
      <c r="AC46" t="s">
        <v>98</v>
      </c>
      <c r="AD46">
        <v>19</v>
      </c>
      <c r="AE46" t="s">
        <v>104</v>
      </c>
      <c r="AF46" t="s">
        <v>100</v>
      </c>
    </row>
    <row r="47" spans="1:32" x14ac:dyDescent="0.75">
      <c r="A47">
        <v>5</v>
      </c>
      <c r="B47">
        <v>3</v>
      </c>
      <c r="M47">
        <v>5</v>
      </c>
      <c r="O47" t="s">
        <v>96</v>
      </c>
      <c r="P47" t="s">
        <v>97</v>
      </c>
      <c r="Q47">
        <v>5</v>
      </c>
      <c r="AC47" t="s">
        <v>106</v>
      </c>
      <c r="AD47">
        <v>35</v>
      </c>
      <c r="AE47" t="s">
        <v>99</v>
      </c>
      <c r="AF47" t="s">
        <v>100</v>
      </c>
    </row>
    <row r="48" spans="1:32" x14ac:dyDescent="0.75">
      <c r="A48" t="s">
        <v>101</v>
      </c>
      <c r="B48">
        <v>6</v>
      </c>
      <c r="F48" t="s">
        <v>111</v>
      </c>
      <c r="O48" t="s">
        <v>96</v>
      </c>
      <c r="P48" t="s">
        <v>117</v>
      </c>
      <c r="W48">
        <v>4</v>
      </c>
      <c r="AC48" t="s">
        <v>98</v>
      </c>
      <c r="AD48">
        <v>22</v>
      </c>
      <c r="AE48" t="s">
        <v>104</v>
      </c>
      <c r="AF48" t="s">
        <v>100</v>
      </c>
    </row>
    <row r="49" spans="1:32" x14ac:dyDescent="0.75">
      <c r="A49" t="s">
        <v>101</v>
      </c>
      <c r="B49">
        <v>3</v>
      </c>
      <c r="G49">
        <v>3</v>
      </c>
      <c r="O49" t="s">
        <v>96</v>
      </c>
      <c r="P49" t="s">
        <v>97</v>
      </c>
      <c r="Y49">
        <v>1</v>
      </c>
      <c r="AC49" t="s">
        <v>98</v>
      </c>
      <c r="AD49">
        <v>7</v>
      </c>
      <c r="AE49" t="s">
        <v>104</v>
      </c>
      <c r="AF49" t="s">
        <v>100</v>
      </c>
    </row>
    <row r="50" spans="1:32" x14ac:dyDescent="0.75">
      <c r="A50" t="s">
        <v>101</v>
      </c>
      <c r="B50" t="s">
        <v>95</v>
      </c>
      <c r="N50" t="s">
        <v>103</v>
      </c>
      <c r="O50" t="s">
        <v>96</v>
      </c>
      <c r="P50" t="s">
        <v>118</v>
      </c>
      <c r="V50">
        <v>1</v>
      </c>
      <c r="AC50" t="s">
        <v>106</v>
      </c>
      <c r="AD50">
        <v>45</v>
      </c>
      <c r="AE50" t="s">
        <v>104</v>
      </c>
      <c r="AF50" t="s">
        <v>100</v>
      </c>
    </row>
    <row r="51" spans="1:32" x14ac:dyDescent="0.75">
      <c r="A51" t="s">
        <v>101</v>
      </c>
      <c r="B51">
        <v>2</v>
      </c>
      <c r="J51">
        <v>4</v>
      </c>
      <c r="O51" t="s">
        <v>96</v>
      </c>
      <c r="P51" t="s">
        <v>97</v>
      </c>
      <c r="U51">
        <v>1</v>
      </c>
      <c r="AC51" t="s">
        <v>98</v>
      </c>
      <c r="AD51">
        <v>20</v>
      </c>
      <c r="AE51" t="s">
        <v>104</v>
      </c>
      <c r="AF51" t="s">
        <v>100</v>
      </c>
    </row>
    <row r="52" spans="1:32" x14ac:dyDescent="0.75">
      <c r="A52">
        <v>5</v>
      </c>
      <c r="B52">
        <v>2</v>
      </c>
      <c r="D52">
        <v>4</v>
      </c>
      <c r="O52" t="s">
        <v>96</v>
      </c>
      <c r="P52" t="s">
        <v>97</v>
      </c>
      <c r="U52">
        <v>3</v>
      </c>
      <c r="AC52" t="s">
        <v>113</v>
      </c>
      <c r="AD52">
        <v>34</v>
      </c>
      <c r="AE52" t="s">
        <v>104</v>
      </c>
      <c r="AF52" t="s">
        <v>100</v>
      </c>
    </row>
    <row r="53" spans="1:32" x14ac:dyDescent="0.75">
      <c r="A53">
        <v>6</v>
      </c>
      <c r="B53">
        <v>6</v>
      </c>
      <c r="L53" t="s">
        <v>111</v>
      </c>
      <c r="O53" t="s">
        <v>96</v>
      </c>
      <c r="P53" t="s">
        <v>97</v>
      </c>
      <c r="X53">
        <v>3</v>
      </c>
      <c r="AC53" t="s">
        <v>98</v>
      </c>
      <c r="AD53">
        <v>48</v>
      </c>
      <c r="AE53" t="s">
        <v>104</v>
      </c>
      <c r="AF53" t="s">
        <v>100</v>
      </c>
    </row>
    <row r="54" spans="1:32" x14ac:dyDescent="0.75">
      <c r="A54">
        <v>5</v>
      </c>
      <c r="B54">
        <v>2</v>
      </c>
      <c r="E54">
        <v>3</v>
      </c>
      <c r="O54" t="s">
        <v>96</v>
      </c>
      <c r="P54" t="s">
        <v>102</v>
      </c>
      <c r="R54">
        <v>3</v>
      </c>
      <c r="AC54" t="s">
        <v>106</v>
      </c>
      <c r="AD54">
        <v>18</v>
      </c>
      <c r="AE54" t="s">
        <v>104</v>
      </c>
      <c r="AF54" t="s">
        <v>100</v>
      </c>
    </row>
    <row r="55" spans="1:32" x14ac:dyDescent="0.75">
      <c r="A55">
        <v>6</v>
      </c>
      <c r="B55" t="s">
        <v>101</v>
      </c>
      <c r="I55">
        <v>6</v>
      </c>
      <c r="O55" t="s">
        <v>96</v>
      </c>
      <c r="P55" t="s">
        <v>102</v>
      </c>
      <c r="T55">
        <v>5</v>
      </c>
      <c r="AC55" t="s">
        <v>98</v>
      </c>
      <c r="AD55">
        <v>30</v>
      </c>
      <c r="AE55" t="s">
        <v>99</v>
      </c>
      <c r="AF55" t="s">
        <v>100</v>
      </c>
    </row>
    <row r="56" spans="1:32" x14ac:dyDescent="0.75">
      <c r="A56">
        <v>6</v>
      </c>
      <c r="B56" t="s">
        <v>95</v>
      </c>
      <c r="G56">
        <v>5</v>
      </c>
      <c r="O56" t="s">
        <v>96</v>
      </c>
      <c r="P56" t="s">
        <v>102</v>
      </c>
      <c r="Z56">
        <v>3</v>
      </c>
      <c r="AC56" t="s">
        <v>106</v>
      </c>
      <c r="AD56">
        <v>10</v>
      </c>
      <c r="AE56" t="s">
        <v>99</v>
      </c>
      <c r="AF56" t="s">
        <v>100</v>
      </c>
    </row>
    <row r="57" spans="1:32" x14ac:dyDescent="0.75">
      <c r="A57" t="s">
        <v>101</v>
      </c>
      <c r="B57">
        <v>5</v>
      </c>
      <c r="H57">
        <v>6</v>
      </c>
      <c r="O57" t="s">
        <v>96</v>
      </c>
      <c r="P57" t="s">
        <v>102</v>
      </c>
      <c r="W57">
        <v>1</v>
      </c>
      <c r="AC57" t="s">
        <v>113</v>
      </c>
      <c r="AD57">
        <v>35</v>
      </c>
      <c r="AE57" t="s">
        <v>104</v>
      </c>
      <c r="AF57" t="s">
        <v>114</v>
      </c>
    </row>
    <row r="58" spans="1:32" x14ac:dyDescent="0.75">
      <c r="A58" t="s">
        <v>101</v>
      </c>
      <c r="B58" t="s">
        <v>101</v>
      </c>
      <c r="H58">
        <v>3</v>
      </c>
      <c r="O58" t="s">
        <v>96</v>
      </c>
      <c r="P58" t="s">
        <v>97</v>
      </c>
      <c r="R58">
        <v>4</v>
      </c>
      <c r="AC58" t="s">
        <v>113</v>
      </c>
      <c r="AD58">
        <v>30</v>
      </c>
      <c r="AE58" t="s">
        <v>104</v>
      </c>
      <c r="AF58" t="s">
        <v>100</v>
      </c>
    </row>
    <row r="59" spans="1:32" x14ac:dyDescent="0.75">
      <c r="A59">
        <v>6</v>
      </c>
      <c r="B59">
        <v>6</v>
      </c>
      <c r="D59">
        <v>6</v>
      </c>
      <c r="O59" t="s">
        <v>96</v>
      </c>
      <c r="P59" t="s">
        <v>119</v>
      </c>
      <c r="V59">
        <v>1</v>
      </c>
      <c r="AC59" t="s">
        <v>98</v>
      </c>
      <c r="AD59">
        <v>40</v>
      </c>
      <c r="AE59" t="s">
        <v>99</v>
      </c>
      <c r="AF59" t="s">
        <v>100</v>
      </c>
    </row>
    <row r="60" spans="1:32" x14ac:dyDescent="0.75">
      <c r="A60">
        <v>5</v>
      </c>
      <c r="B60">
        <v>5</v>
      </c>
      <c r="K60">
        <v>5</v>
      </c>
      <c r="O60" t="s">
        <v>96</v>
      </c>
      <c r="P60" t="s">
        <v>102</v>
      </c>
      <c r="X60">
        <v>2</v>
      </c>
      <c r="AC60" t="s">
        <v>98</v>
      </c>
      <c r="AD60">
        <v>20</v>
      </c>
      <c r="AE60" t="s">
        <v>104</v>
      </c>
      <c r="AF60" t="s">
        <v>100</v>
      </c>
    </row>
    <row r="61" spans="1:32" x14ac:dyDescent="0.75">
      <c r="A61">
        <v>6</v>
      </c>
      <c r="B61">
        <v>2</v>
      </c>
      <c r="C61" t="s">
        <v>111</v>
      </c>
      <c r="O61" t="s">
        <v>96</v>
      </c>
      <c r="P61" t="s">
        <v>102</v>
      </c>
      <c r="S61">
        <v>1</v>
      </c>
      <c r="AC61" t="s">
        <v>110</v>
      </c>
      <c r="AD61">
        <v>60</v>
      </c>
      <c r="AE61" t="s">
        <v>99</v>
      </c>
      <c r="AF61" t="s">
        <v>100</v>
      </c>
    </row>
    <row r="62" spans="1:32" x14ac:dyDescent="0.75">
      <c r="A62" t="s">
        <v>95</v>
      </c>
      <c r="B62" t="s">
        <v>108</v>
      </c>
      <c r="M62">
        <v>5</v>
      </c>
      <c r="O62" t="s">
        <v>96</v>
      </c>
      <c r="P62" t="s">
        <v>102</v>
      </c>
      <c r="Q62">
        <v>3</v>
      </c>
      <c r="AC62" t="s">
        <v>110</v>
      </c>
      <c r="AD62">
        <v>20</v>
      </c>
      <c r="AE62" t="s">
        <v>99</v>
      </c>
      <c r="AF62" t="s">
        <v>100</v>
      </c>
    </row>
  </sheetData>
  <sortState xmlns:xlrd2="http://schemas.microsoft.com/office/spreadsheetml/2017/richdata2" ref="P65:P139">
    <sortCondition ref="P65:P13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7</vt:i4>
      </vt:variant>
    </vt:vector>
  </HeadingPairs>
  <TitlesOfParts>
    <vt:vector size="14" baseType="lpstr">
      <vt:lpstr>Data - Figures 11, 12</vt:lpstr>
      <vt:lpstr>Data - Figure 10</vt:lpstr>
      <vt:lpstr>Data on gender</vt:lpstr>
      <vt:lpstr>Data - Figure 9</vt:lpstr>
      <vt:lpstr>Data - Figure 8</vt:lpstr>
      <vt:lpstr>Data - Figures 6, 7 and Table 3</vt:lpstr>
      <vt:lpstr>Raw Data</vt:lpstr>
      <vt:lpstr>Figure 12</vt:lpstr>
      <vt:lpstr>Figure 11</vt:lpstr>
      <vt:lpstr>Figure 10</vt:lpstr>
      <vt:lpstr>Figure 9</vt:lpstr>
      <vt:lpstr>Figure 8</vt:lpstr>
      <vt:lpstr>Figure 6</vt:lpstr>
      <vt:lpstr>Figure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Selove, Matthew</dc:creator>
  <cp:lastModifiedBy>Selove, Matthew</cp:lastModifiedBy>
  <cp:lastPrinted>2025-09-07T17:58:07Z</cp:lastPrinted>
  <dcterms:created xsi:type="dcterms:W3CDTF">2025-09-03T01:56:02Z</dcterms:created>
  <dcterms:modified xsi:type="dcterms:W3CDTF">2025-12-17T01:19:08Z</dcterms:modified>
</cp:coreProperties>
</file>